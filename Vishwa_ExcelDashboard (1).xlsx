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Favorites\Downloads\"/>
    </mc:Choice>
  </mc:AlternateContent>
  <bookViews>
    <workbookView xWindow="0" yWindow="0" windowWidth="19200" windowHeight="8440" firstSheet="1" activeTab="6"/>
  </bookViews>
  <sheets>
    <sheet name="Monthly_Summary" sheetId="2" r:id="rId1"/>
    <sheet name="Product_Summary" sheetId="3" r:id="rId2"/>
    <sheet name="Raw Data" sheetId="4" r:id="rId3"/>
    <sheet name="Region_Summary" sheetId="5" r:id="rId4"/>
    <sheet name="Quantity" sheetId="8" r:id="rId5"/>
    <sheet name="Instructions" sheetId="19" r:id="rId6"/>
    <sheet name="DashBoard" sheetId="15" r:id="rId7"/>
  </sheets>
  <calcPr calcId="152511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" i="4" l="1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</calcChain>
</file>

<file path=xl/sharedStrings.xml><?xml version="1.0" encoding="utf-8"?>
<sst xmlns="http://schemas.openxmlformats.org/spreadsheetml/2006/main" count="307" uniqueCount="53">
  <si>
    <t>Month Year</t>
  </si>
  <si>
    <t>Total Sales</t>
  </si>
  <si>
    <t>Grand Total</t>
  </si>
  <si>
    <t>Product</t>
  </si>
  <si>
    <t>Sum of Sales</t>
  </si>
  <si>
    <t>Headphones</t>
  </si>
  <si>
    <t>Keyboard</t>
  </si>
  <si>
    <t>Laptop</t>
  </si>
  <si>
    <t>Monitor</t>
  </si>
  <si>
    <t>Mouse</t>
  </si>
  <si>
    <t>Printer</t>
  </si>
  <si>
    <t>Date</t>
  </si>
  <si>
    <t>Region</t>
  </si>
  <si>
    <t>Quantity</t>
  </si>
  <si>
    <t>Unit Price</t>
  </si>
  <si>
    <t>Sales</t>
  </si>
  <si>
    <r>
      <t>Month Year</t>
    </r>
    <r>
      <rPr>
        <sz val="11"/>
        <color theme="0"/>
        <rFont val="Calibri"/>
        <family val="2"/>
        <scheme val="minor"/>
      </rPr>
      <t>.</t>
    </r>
  </si>
  <si>
    <t>South</t>
  </si>
  <si>
    <t>East</t>
  </si>
  <si>
    <t>North</t>
  </si>
  <si>
    <t>West</t>
  </si>
  <si>
    <t>Sum of Quantity</t>
  </si>
  <si>
    <t>Products</t>
  </si>
  <si>
    <t>SALES PERFORMANCE DASHBOARD</t>
  </si>
  <si>
    <t>Interactive view | Based on 119 sales records from Jan–Dec 2025</t>
  </si>
  <si>
    <t>All</t>
  </si>
  <si>
    <t>Month</t>
  </si>
  <si>
    <t>TOTAL SALES</t>
  </si>
  <si>
    <t>UNITS SOLD</t>
  </si>
  <si>
    <t>TRANSACTIONS</t>
  </si>
  <si>
    <t>AVERAGE SALE</t>
  </si>
  <si>
    <t>TASK ORDER &amp; HOW TO USE THE DASHBOARD</t>
  </si>
  <si>
    <t>Step</t>
  </si>
  <si>
    <t>Task</t>
  </si>
  <si>
    <t>Completion / Instructions</t>
  </si>
  <si>
    <t>Choose a dataset</t>
  </si>
  <si>
    <t>Used the supplied 2025 product sales dataset.</t>
  </si>
  <si>
    <t>Prepare and format data</t>
  </si>
  <si>
    <t>Cleaned date spacing and standardized Month Year; 119 records loaded into an Excel Table.</t>
  </si>
  <si>
    <t>Build analysis</t>
  </si>
  <si>
    <t>Created formula-driven monthly, product, and region summaries.</t>
  </si>
  <si>
    <t>Create interactive dashboard</t>
  </si>
  <si>
    <t>Use the yellow dropdowns on Dashboard: Product, Region, and Month. KPI cards and charts update from selections.</t>
  </si>
  <si>
    <t>Save progress every 15 minutes</t>
  </si>
  <si>
    <t>During your 3-hour working session, press Ctrl+S every 15 minutes. This workbook is the final prepared output.</t>
  </si>
  <si>
    <t>Submit final file</t>
  </si>
  <si>
    <t>Submit this workbook using the requested YourName_ExcelDashboard.xlsx naming format.</t>
  </si>
  <si>
    <t>Dashboard features</t>
  </si>
  <si>
    <t>• Interactive filters: Product, Region, Month.</t>
  </si>
  <si>
    <t>• KPIs: Total Sales, Units Sold, Transactions, Average Sale.</t>
  </si>
  <si>
    <t>• Charts: Monthly Sales Trend, Sales by Product, Sales Share by Region.</t>
  </si>
  <si>
    <t>• Excel may calculate formulas when the file is opened. If values do not refresh, press Ctrl+Alt+F9.</t>
  </si>
  <si>
    <t>• Sales_Data sheet contains the source records; summary sheets support the dashboard charts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</si>
</sst>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yyyy"/>
    <numFmt numFmtId="165" formatCode="dd\ mmm\ yyyy"/>
    <numFmt numFmtId="166" formatCode="\₹#,##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 Unicode MS"/>
      <family val="2"/>
    </font>
    <font>
      <b/>
      <sz val="18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7"/>
      <color rgb="FF17365D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rgb="FFFFFFFF"/>
      <name val="Arial Black"/>
      <family val="2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3F6FA"/>
        <bgColor rgb="FF000000"/>
      </patternFill>
    </fill>
    <fill>
      <patternFill patternType="solid">
        <fgColor rgb="FF0F6B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3" xfId="0" applyFont="1" applyFill="1" applyBorder="1"/>
    <xf numFmtId="165" fontId="0" fillId="0" borderId="4" xfId="0" applyNumberFormat="1" applyBorder="1"/>
    <xf numFmtId="0" fontId="0" fillId="0" borderId="5" xfId="0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3" fillId="6" borderId="11" xfId="0" applyFont="1" applyFill="1" applyBorder="1" applyAlignment="1">
      <alignment vertical="top" wrapText="1"/>
    </xf>
    <xf numFmtId="0" fontId="13" fillId="6" borderId="0" xfId="0" applyFont="1" applyFill="1" applyBorder="1" applyAlignment="1">
      <alignment vertical="top" wrapText="1"/>
    </xf>
    <xf numFmtId="0" fontId="13" fillId="6" borderId="12" xfId="0" applyFont="1" applyFill="1" applyBorder="1" applyAlignment="1">
      <alignment vertical="top" wrapText="1"/>
    </xf>
    <xf numFmtId="0" fontId="13" fillId="10" borderId="11" xfId="0" applyFont="1" applyFill="1" applyBorder="1" applyAlignment="1">
      <alignment vertical="top" wrapText="1"/>
    </xf>
    <xf numFmtId="0" fontId="13" fillId="10" borderId="0" xfId="0" applyFont="1" applyFill="1" applyBorder="1" applyAlignment="1">
      <alignment vertical="top" wrapText="1"/>
    </xf>
    <xf numFmtId="0" fontId="13" fillId="10" borderId="12" xfId="0" applyFont="1" applyFill="1" applyBorder="1" applyAlignment="1">
      <alignment vertical="top" wrapText="1"/>
    </xf>
    <xf numFmtId="0" fontId="13" fillId="10" borderId="3" xfId="0" applyFont="1" applyFill="1" applyBorder="1" applyAlignment="1">
      <alignment vertical="top" wrapText="1"/>
    </xf>
    <xf numFmtId="0" fontId="13" fillId="10" borderId="13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11" fillId="4" borderId="0" xfId="0" applyFont="1" applyFill="1" applyAlignment="1">
      <alignment horizontal="center"/>
    </xf>
    <xf numFmtId="0" fontId="3" fillId="7" borderId="5" xfId="0" applyFont="1" applyFill="1" applyBorder="1"/>
    <xf numFmtId="166" fontId="10" fillId="5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9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\ mmm\ 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(1).xlsx]Monthly_Summary!PivotTable49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36750000000000005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769203849518809"/>
          <c:y val="0.17069225721784775"/>
          <c:w val="0.68391863517060369"/>
          <c:h val="0.56559091571886844"/>
        </c:manualLayout>
      </c:layout>
      <c:lineChart>
        <c:grouping val="standar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Monthly_Summary!$A$2:$A$14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Monthly_Summary!$B$2:$B$14</c:f>
              <c:numCache>
                <c:formatCode>General</c:formatCode>
                <c:ptCount val="12"/>
                <c:pt idx="0">
                  <c:v>767100</c:v>
                </c:pt>
                <c:pt idx="1">
                  <c:v>1131600</c:v>
                </c:pt>
                <c:pt idx="2">
                  <c:v>568000</c:v>
                </c:pt>
                <c:pt idx="3">
                  <c:v>1066600</c:v>
                </c:pt>
                <c:pt idx="4">
                  <c:v>1180900</c:v>
                </c:pt>
                <c:pt idx="5">
                  <c:v>1118000</c:v>
                </c:pt>
                <c:pt idx="6">
                  <c:v>37600</c:v>
                </c:pt>
                <c:pt idx="7">
                  <c:v>430200</c:v>
                </c:pt>
                <c:pt idx="8">
                  <c:v>284900</c:v>
                </c:pt>
                <c:pt idx="9">
                  <c:v>760400</c:v>
                </c:pt>
                <c:pt idx="10">
                  <c:v>1300700</c:v>
                </c:pt>
                <c:pt idx="11">
                  <c:v>378500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572768"/>
        <c:axId val="280010176"/>
      </c:lineChart>
      <c:catAx>
        <c:axId val="28057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408040244969379"/>
              <c:y val="0.89916885389326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10176"/>
        <c:crosses val="autoZero"/>
        <c:auto val="1"/>
        <c:lblAlgn val="ctr"/>
        <c:lblOffset val="100"/>
        <c:noMultiLvlLbl val="0"/>
      </c:catAx>
      <c:valAx>
        <c:axId val="2800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(1).xlsx]Product_Summary!PivotTable50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578584798112357"/>
          <c:y val="2.71724551465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72695680143064"/>
          <c:y val="0.13975762548719484"/>
          <c:w val="0.73847390338335017"/>
          <c:h val="0.67384005800131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Product_Summary!$A$2:$A$8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Product_Summary!$B$2:$B$8</c:f>
              <c:numCache>
                <c:formatCode>General</c:formatCode>
                <c:ptCount val="6"/>
                <c:pt idx="0">
                  <c:v>176400</c:v>
                </c:pt>
                <c:pt idx="1">
                  <c:v>123600</c:v>
                </c:pt>
                <c:pt idx="2">
                  <c:v>5715000</c:v>
                </c:pt>
                <c:pt idx="3">
                  <c:v>1524000</c:v>
                </c:pt>
                <c:pt idx="4">
                  <c:v>49000</c:v>
                </c:pt>
                <c:pt idx="5">
                  <c:v>1436500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19480"/>
        <c:axId val="281693576"/>
      </c:barChart>
      <c:catAx>
        <c:axId val="159019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0.46102617024510117"/>
              <c:y val="0.9043824714630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93576"/>
        <c:crosses val="autoZero"/>
        <c:auto val="1"/>
        <c:lblAlgn val="ctr"/>
        <c:lblOffset val="100"/>
        <c:noMultiLvlLbl val="0"/>
      </c:catAx>
      <c:valAx>
        <c:axId val="28169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</a:t>
                </a:r>
                <a:r>
                  <a:rPr lang="en-IN"/>
                  <a:t>es</a:t>
                </a:r>
              </a:p>
            </c:rich>
          </c:tx>
          <c:layout>
            <c:manualLayout>
              <c:xMode val="edge"/>
              <c:yMode val="edge"/>
              <c:x val="6.9786795990601511E-3"/>
              <c:y val="0.3311315314707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(1).xlsx]Region_Summary!PivotTable51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  <a:endParaRPr lang="en-US"/>
          </a:p>
        </c:rich>
      </c:tx>
      <c:layout>
        <c:manualLayout>
          <c:xMode val="edge"/>
          <c:yMode val="edge"/>
          <c:x val="0.32371403896404144"/>
          <c:y val="4.170796940168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403782193207164"/>
          <c:y val="0.1888248826378888"/>
          <c:w val="0.50292357351423267"/>
          <c:h val="0.74781528793461383"/>
        </c:manualLayout>
      </c:layout>
      <c:pieChart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5143761127075762E-2"/>
                  <c:y val="8.076009501187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2364211626320941E-2"/>
                  <c:y val="3.8004750593824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Region_Summary!$A$2:$A$6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Region_Summary!$B$2:$B$6</c:f>
              <c:numCache>
                <c:formatCode>General</c:formatCode>
                <c:ptCount val="4"/>
                <c:pt idx="0">
                  <c:v>1139300</c:v>
                </c:pt>
                <c:pt idx="1">
                  <c:v>3697300</c:v>
                </c:pt>
                <c:pt idx="2">
                  <c:v>2791400</c:v>
                </c:pt>
                <c:pt idx="3">
                  <c:v>1396500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(1).xlsx]Quantity!PivotTable57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product</a:t>
            </a:r>
            <a:endParaRPr lang="en-US"/>
          </a:p>
        </c:rich>
      </c:tx>
      <c:layout>
        <c:manualLayout>
          <c:xMode val="edge"/>
          <c:yMode val="edge"/>
          <c:x val="0.39075533149481512"/>
          <c:y val="2.2186286215182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441588377881524"/>
          <c:y val="0.15635108846688281"/>
          <c:w val="0.68427268050059376"/>
          <c:h val="0.703432951562872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Quantity!$B$2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Quantity!$A$3:$A$9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Quantity!$B$3:$B$9</c:f>
              <c:numCache>
                <c:formatCode>General</c:formatCode>
                <c:ptCount val="6"/>
                <c:pt idx="0">
                  <c:v>98</c:v>
                </c:pt>
                <c:pt idx="1">
                  <c:v>103</c:v>
                </c:pt>
                <c:pt idx="2">
                  <c:v>127</c:v>
                </c:pt>
                <c:pt idx="3">
                  <c:v>127</c:v>
                </c:pt>
                <c:pt idx="4">
                  <c:v>98</c:v>
                </c:pt>
                <c:pt idx="5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581960"/>
        <c:axId val="281598576"/>
      </c:barChart>
      <c:catAx>
        <c:axId val="281581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5.8316376183314166E-2"/>
              <c:y val="0.33312425435456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98576"/>
        <c:crosses val="autoZero"/>
        <c:auto val="1"/>
        <c:lblAlgn val="ctr"/>
        <c:lblOffset val="100"/>
        <c:noMultiLvlLbl val="0"/>
      </c:catAx>
      <c:valAx>
        <c:axId val="28159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Sum of Quantity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842289657613024"/>
              <c:y val="0.9287168933428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8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(1).xlsx]Monthly_Summary!PivotTable49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35935227361124311"/>
          <c:y val="4.0833100455344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769203849518809"/>
          <c:y val="0.17069225721784775"/>
          <c:w val="0.71904491905580958"/>
          <c:h val="0.57394177502342481"/>
        </c:manualLayout>
      </c:layout>
      <c:lineChart>
        <c:grouping val="standar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Monthly_Summary!$A$2:$A$14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Monthly_Summary!$B$2:$B$14</c:f>
              <c:numCache>
                <c:formatCode>General</c:formatCode>
                <c:ptCount val="12"/>
                <c:pt idx="0">
                  <c:v>767100</c:v>
                </c:pt>
                <c:pt idx="1">
                  <c:v>1131600</c:v>
                </c:pt>
                <c:pt idx="2">
                  <c:v>568000</c:v>
                </c:pt>
                <c:pt idx="3">
                  <c:v>1066600</c:v>
                </c:pt>
                <c:pt idx="4">
                  <c:v>1180900</c:v>
                </c:pt>
                <c:pt idx="5">
                  <c:v>1118000</c:v>
                </c:pt>
                <c:pt idx="6">
                  <c:v>37600</c:v>
                </c:pt>
                <c:pt idx="7">
                  <c:v>430200</c:v>
                </c:pt>
                <c:pt idx="8">
                  <c:v>284900</c:v>
                </c:pt>
                <c:pt idx="9">
                  <c:v>760400</c:v>
                </c:pt>
                <c:pt idx="10">
                  <c:v>1300700</c:v>
                </c:pt>
                <c:pt idx="11">
                  <c:v>378500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994904"/>
        <c:axId val="280846608"/>
      </c:lineChart>
      <c:catAx>
        <c:axId val="328994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408040244969379"/>
              <c:y val="0.89916885389326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46608"/>
        <c:crosses val="autoZero"/>
        <c:auto val="1"/>
        <c:lblAlgn val="ctr"/>
        <c:lblOffset val="100"/>
        <c:noMultiLvlLbl val="0"/>
      </c:catAx>
      <c:valAx>
        <c:axId val="2808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949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(1).xlsx]Product_Summary!PivotTable50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Sales</a:t>
            </a:r>
          </a:p>
        </c:rich>
      </c:tx>
      <c:layout>
        <c:manualLayout>
          <c:xMode val="edge"/>
          <c:yMode val="edge"/>
          <c:x val="0.3578584798112357"/>
          <c:y val="2.71724551465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72691037689768"/>
          <c:y val="0.1355734194313577"/>
          <c:w val="0.73847390338335017"/>
          <c:h val="0.67384005800131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Product_Summary!$B$1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Product_Summary!$A$2:$A$8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Product_Summary!$B$2:$B$8</c:f>
              <c:numCache>
                <c:formatCode>General</c:formatCode>
                <c:ptCount val="6"/>
                <c:pt idx="0">
                  <c:v>176400</c:v>
                </c:pt>
                <c:pt idx="1">
                  <c:v>123600</c:v>
                </c:pt>
                <c:pt idx="2">
                  <c:v>5715000</c:v>
                </c:pt>
                <c:pt idx="3">
                  <c:v>1524000</c:v>
                </c:pt>
                <c:pt idx="4">
                  <c:v>49000</c:v>
                </c:pt>
                <c:pt idx="5">
                  <c:v>1436500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0848960"/>
        <c:axId val="280849352"/>
      </c:barChart>
      <c:catAx>
        <c:axId val="28084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0.46102617024510117"/>
              <c:y val="0.90438247146301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49352"/>
        <c:crosses val="autoZero"/>
        <c:auto val="1"/>
        <c:lblAlgn val="ctr"/>
        <c:lblOffset val="100"/>
        <c:noMultiLvlLbl val="0"/>
      </c:catAx>
      <c:valAx>
        <c:axId val="28084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</c:rich>
          </c:tx>
          <c:layout>
            <c:manualLayout>
              <c:xMode val="edge"/>
              <c:yMode val="edge"/>
              <c:x val="6.9786795990601511E-3"/>
              <c:y val="0.33113153147077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(1).xlsx]Quantity!PivotTable57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</a:p>
        </c:rich>
      </c:tx>
      <c:layout>
        <c:manualLayout>
          <c:xMode val="edge"/>
          <c:yMode val="edge"/>
          <c:x val="0.37540440668600633"/>
          <c:y val="2.9682906363565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441588377881524"/>
          <c:y val="0.15635108846688281"/>
          <c:w val="0.68427268050059376"/>
          <c:h val="0.703432951562872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Quantity!$B$2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Quantity!$A$3:$A$9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Quantity!$B$3:$B$9</c:f>
              <c:numCache>
                <c:formatCode>General</c:formatCode>
                <c:ptCount val="6"/>
                <c:pt idx="0">
                  <c:v>98</c:v>
                </c:pt>
                <c:pt idx="1">
                  <c:v>103</c:v>
                </c:pt>
                <c:pt idx="2">
                  <c:v>127</c:v>
                </c:pt>
                <c:pt idx="3">
                  <c:v>127</c:v>
                </c:pt>
                <c:pt idx="4">
                  <c:v>98</c:v>
                </c:pt>
                <c:pt idx="5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0852880"/>
        <c:axId val="280846216"/>
      </c:barChart>
      <c:catAx>
        <c:axId val="280852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>
            <c:manualLayout>
              <c:xMode val="edge"/>
              <c:yMode val="edge"/>
              <c:x val="5.8316376183314166E-2"/>
              <c:y val="0.33312425435456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46216"/>
        <c:crosses val="autoZero"/>
        <c:auto val="1"/>
        <c:lblAlgn val="ctr"/>
        <c:lblOffset val="100"/>
        <c:noMultiLvlLbl val="0"/>
      </c:catAx>
      <c:valAx>
        <c:axId val="28084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Quantity</a:t>
                </a:r>
              </a:p>
            </c:rich>
          </c:tx>
          <c:layout>
            <c:manualLayout>
              <c:xMode val="edge"/>
              <c:yMode val="edge"/>
              <c:x val="0.41842289657613024"/>
              <c:y val="0.9287168933428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5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[Vishwa_ExcelDashboard (1).xlsx]Region_Summary!PivotTable51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Region-wise Sales</a:t>
            </a:r>
            <a:endParaRPr lang="en-US"/>
          </a:p>
        </c:rich>
      </c:tx>
      <c:layout>
        <c:manualLayout>
          <c:xMode val="edge"/>
          <c:yMode val="edge"/>
          <c:x val="0.32371403896404144"/>
          <c:y val="4.170796940168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5143761127075762E-2"/>
              <c:y val="8.0760095011876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2364211626320941E-2"/>
              <c:y val="3.800475059382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03782193207164"/>
          <c:y val="0.1888248826378888"/>
          <c:w val="0.50292357351423267"/>
          <c:h val="0.74781528793461383"/>
        </c:manualLayout>
      </c:layout>
      <c:pieChart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3.5143761127075762E-2"/>
                  <c:y val="8.076009501187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364211626320941E-2"/>
                  <c:y val="3.8004750593824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Region_Summary!$A$2:$A$6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Region_Summary!$B$2:$B$6</c:f>
              <c:numCache>
                <c:formatCode>General</c:formatCode>
                <c:ptCount val="4"/>
                <c:pt idx="0">
                  <c:v>1139300</c:v>
                </c:pt>
                <c:pt idx="1">
                  <c:v>3697300</c:v>
                </c:pt>
                <c:pt idx="2">
                  <c:v>2791400</c:v>
                </c:pt>
                <c:pt idx="3">
                  <c:v>1396500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10</xdr:col>
      <xdr:colOff>311150</xdr:colOff>
      <xdr:row>14</xdr:row>
      <xdr:rowOff>165100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209549</xdr:colOff>
      <xdr:row>16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6350</xdr:rowOff>
    </xdr:from>
    <xdr:to>
      <xdr:col>9</xdr:col>
      <xdr:colOff>330201</xdr:colOff>
      <xdr:row>14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599722</xdr:colOff>
      <xdr:row>0</xdr:row>
      <xdr:rowOff>0</xdr:rowOff>
    </xdr:from>
    <xdr:to>
      <xdr:col>12</xdr:col>
      <xdr:colOff>158044</xdr:colOff>
      <xdr:row>18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10</xdr:row>
      <xdr:rowOff>50800</xdr:rowOff>
    </xdr:from>
    <xdr:to>
      <xdr:col>3</xdr:col>
      <xdr:colOff>342900</xdr:colOff>
      <xdr:row>26</xdr:row>
      <xdr:rowOff>146050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1371600</xdr:colOff>
      <xdr:row>10</xdr:row>
      <xdr:rowOff>57150</xdr:rowOff>
    </xdr:from>
    <xdr:to>
      <xdr:col>6</xdr:col>
      <xdr:colOff>787400</xdr:colOff>
      <xdr:row>26</xdr:row>
      <xdr:rowOff>146050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27</xdr:row>
      <xdr:rowOff>69850</xdr:rowOff>
    </xdr:from>
    <xdr:to>
      <xdr:col>3</xdr:col>
      <xdr:colOff>349250</xdr:colOff>
      <xdr:row>45</xdr:row>
      <xdr:rowOff>143329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1403350</xdr:colOff>
      <xdr:row>27</xdr:row>
      <xdr:rowOff>82550</xdr:rowOff>
    </xdr:from>
    <xdr:to>
      <xdr:col>6</xdr:col>
      <xdr:colOff>819150</xdr:colOff>
      <xdr:row>46</xdr:row>
      <xdr:rowOff>12700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2013_Sales_Dashboard_Practice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2013_Sales_Dashboard_Practice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2013_Sales_Dashboard_Practice.csv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2013_Sales_Dashboard_Practice.csv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23.681551851849" createdVersion="5" refreshedVersion="5" minRefreshableVersion="3" recordCount="119">
  <cacheSource type="worksheet">
    <worksheetSource ref="A1:C120" sheet="Sheet12" r:id="rId2"/>
  </cacheSource>
  <cacheFields count="3">
    <cacheField name="Date" numFmtId="0">
      <sharedItems containsSemiMixedTypes="0" containsNonDate="0" containsDate="1" containsString="0" minDate="2025-01-02T00:00:00" maxDate="2025-12-28T00:00:00" count="98">
        <d v="2025-01-02T00:00:00"/>
        <d v="2025-01-06T00:00:00"/>
        <d v="2025-01-17T00:00:00"/>
        <d v="2025-01-19T00:00:00"/>
        <d v="2025-01-20T00:00:00"/>
        <d v="2025-01-21T00:00:00"/>
        <d v="2025-01-25T00:00:00"/>
        <d v="2025-01-28T00:00:00"/>
        <d v="2025-02-02T00:00:00"/>
        <d v="2025-02-05T00:00:00"/>
        <d v="2025-02-07T00:00:00"/>
        <d v="2025-02-08T00:00:00"/>
        <d v="2025-02-10T00:00:00"/>
        <d v="2025-02-19T00:00:00"/>
        <d v="2025-02-22T00:00:00"/>
        <d v="2025-02-25T00:00:00"/>
        <d v="2025-03-03T00:00:00"/>
        <d v="2025-03-07T00:00:00"/>
        <d v="2025-03-23T00:00:00"/>
        <d v="2025-03-25T00:00:00"/>
        <d v="2025-03-26T00:00:00"/>
        <d v="2025-04-02T00:00:00"/>
        <d v="2025-04-08T00:00:00"/>
        <d v="2025-04-12T00:00:00"/>
        <d v="2025-04-15T00:00:00"/>
        <d v="2025-04-19T00:00:00"/>
        <d v="2025-04-20T00:00:00"/>
        <d v="2025-04-22T00:00:00"/>
        <d v="2025-04-23T00:00:00"/>
        <d v="2025-04-25T00:00:00"/>
        <d v="2025-04-26T00:00:00"/>
        <d v="2025-05-02T00:00:00"/>
        <d v="2025-05-04T00:00:00"/>
        <d v="2025-05-07T00:00:00"/>
        <d v="2025-05-08T00:00:00"/>
        <d v="2025-05-14T00:00:00"/>
        <d v="2025-05-15T00:00:00"/>
        <d v="2025-05-16T00:00:00"/>
        <d v="2025-05-17T00:00:00"/>
        <d v="2025-05-21T00:00:00"/>
        <d v="2025-05-23T00:00:00"/>
        <d v="2025-05-26T00:00:00"/>
        <d v="2025-05-31T00:00:00"/>
        <d v="2025-06-02T00:00:00"/>
        <d v="2025-06-09T00:00:00"/>
        <d v="2025-06-10T00:00:00"/>
        <d v="2025-06-11T00:00:00"/>
        <d v="2025-06-15T00:00:00"/>
        <d v="2025-06-16T00:00:00"/>
        <d v="2025-06-18T00:00:00"/>
        <d v="2025-06-28T00:00:00"/>
        <d v="2025-06-29T00:00:00"/>
        <d v="2025-07-03T00:00:00"/>
        <d v="2025-07-05T00:00:00"/>
        <d v="2025-07-09T00:00:00"/>
        <d v="2025-07-11T00:00:00"/>
        <d v="2025-07-26T00:00:00"/>
        <d v="2025-08-05T00:00:00"/>
        <d v="2025-08-15T00:00:00"/>
        <d v="2025-08-18T00:00:00"/>
        <d v="2025-08-23T00:00:00"/>
        <d v="2025-08-24T00:00:00"/>
        <d v="2025-08-25T00:00:00"/>
        <d v="2025-08-28T00:00:00"/>
        <d v="2025-08-31T00:00:00"/>
        <d v="2025-09-02T00:00:00"/>
        <d v="2025-09-04T00:00:00"/>
        <d v="2025-09-06T00:00:00"/>
        <d v="2025-09-08T00:00:00"/>
        <d v="2025-09-18T00:00:00"/>
        <d v="2025-09-22T00:00:00"/>
        <d v="2025-09-28T00:00:00"/>
        <d v="2025-10-02T00:00:00"/>
        <d v="2025-10-04T00:00:00"/>
        <d v="2025-10-11T00:00:00"/>
        <d v="2025-10-14T00:00:00"/>
        <d v="2025-10-16T00:00:00"/>
        <d v="2025-10-23T00:00:00"/>
        <d v="2025-10-24T00:00:00"/>
        <d v="2025-10-27T00:00:00"/>
        <d v="2025-10-29T00:00:00"/>
        <d v="2025-11-01T00:00:00"/>
        <d v="2025-11-06T00:00:00"/>
        <d v="2025-11-13T00:00:00"/>
        <d v="2025-11-20T00:00:00"/>
        <d v="2025-11-21T00:00:00"/>
        <d v="2025-11-22T00:00:00"/>
        <d v="2025-11-24T00:00:00"/>
        <d v="2025-11-27T00:00:00"/>
        <d v="2025-11-30T00:00:00"/>
        <d v="2025-12-02T00:00:00"/>
        <d v="2025-12-03T00:00:00"/>
        <d v="2025-12-04T00:00:00"/>
        <d v="2025-12-09T00:00:00"/>
        <d v="2025-12-18T00:00:00"/>
        <d v="2025-12-19T00:00:00"/>
        <d v="2025-12-23T00:00:00"/>
        <d v="2025-12-27T00:00:00"/>
      </sharedItems>
    </cacheField>
    <cacheField name="Sales" numFmtId="0">
      <sharedItems containsSemiMixedTypes="0" containsString="0" containsNumber="1" containsInteger="1" minValue="500" maxValue="540000" count="59">
        <n v="13200"/>
        <n v="76500"/>
        <n v="93500"/>
        <n v="10800"/>
        <n v="8400"/>
        <n v="48000"/>
        <n v="495000"/>
        <n v="8500"/>
        <n v="120000"/>
        <n v="225000"/>
        <n v="450000"/>
        <n v="19800"/>
        <n v="3500"/>
        <n v="51000"/>
        <n v="90000"/>
        <n v="85000"/>
        <n v="18000"/>
        <n v="270000"/>
        <n v="59500"/>
        <n v="500"/>
        <n v="84000"/>
        <n v="1200"/>
        <n v="34000"/>
        <n v="7200"/>
        <n v="5400"/>
        <n v="4500"/>
        <n v="1000"/>
        <n v="540000"/>
        <n v="315000"/>
        <n v="45000"/>
        <n v="4800"/>
        <n v="4000"/>
        <n v="3600"/>
        <n v="102000"/>
        <n v="132000"/>
        <n v="1500"/>
        <n v="36000"/>
        <n v="3000"/>
        <n v="24000"/>
        <n v="96000"/>
        <n v="25500"/>
        <n v="6000"/>
        <n v="5000"/>
        <n v="17000"/>
        <n v="144000"/>
        <n v="1800"/>
        <n v="12600"/>
        <n v="16200"/>
        <n v="135000"/>
        <n v="2400"/>
        <n v="2000"/>
        <n v="2500"/>
        <n v="405000"/>
        <n v="72000"/>
        <n v="14400"/>
        <n v="12000"/>
        <n v="9000"/>
        <n v="60000"/>
        <n v="42500"/>
      </sharedItems>
    </cacheField>
    <cacheField name="Month Year.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323.698601388889" createdVersion="5" refreshedVersion="5" minRefreshableVersion="3" recordCount="119">
  <cacheSource type="worksheet">
    <worksheetSource ref="A1:B120" sheet="Sheet14" r:id="rId2"/>
  </cacheSource>
  <cacheFields count="2">
    <cacheField name="Product" numFmtId="0">
      <sharedItems count="6">
        <s v="Keyboard"/>
        <s v="Printer"/>
        <s v="Monitor"/>
        <s v="Laptop"/>
        <s v="Headphones"/>
        <s v="Mouse"/>
      </sharedItems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323.719679861111" createdVersion="5" refreshedVersion="5" minRefreshableVersion="3" recordCount="119">
  <cacheSource type="worksheet">
    <worksheetSource ref="A1:B120" sheet="Sheet23" r:id="rId2"/>
  </cacheSource>
  <cacheFields count="2">
    <cacheField name="Region" numFmtId="0">
      <sharedItems count="4">
        <s v="South"/>
        <s v="East"/>
        <s v="North"/>
        <s v="West"/>
      </sharedItems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dmin" refreshedDate="46323.735553125" createdVersion="5" refreshedVersion="5" minRefreshableVersion="3" recordCount="119">
  <cacheSource type="worksheet">
    <worksheetSource name="Table11" r:id="rId2"/>
  </cacheSource>
  <cacheFields count="6">
    <cacheField name="Date" numFmtId="15">
      <sharedItems containsSemiMixedTypes="0" containsNonDate="0" containsDate="1" containsString="0" minDate="2025-01-02T00:00:00" maxDate="2025-12-28T00:00:00"/>
    </cacheField>
    <cacheField name="Product" numFmtId="0">
      <sharedItems count="6">
        <s v="Keyboard"/>
        <s v="Printer"/>
        <s v="Monitor"/>
        <s v="Laptop"/>
        <s v="Headphones"/>
        <s v="Mouse"/>
      </sharedItems>
    </cacheField>
    <cacheField name="Region" numFmtId="0">
      <sharedItems count="4">
        <s v="South"/>
        <s v="East"/>
        <s v="North"/>
        <s v="West"/>
      </sharedItems>
    </cacheField>
    <cacheField name="Quantity" numFmtId="0">
      <sharedItems containsSemiMixedTypes="0" containsString="0" containsNumber="1" containsInteger="1" minValue="1" maxValue="12" count="12">
        <n v="11"/>
        <n v="9"/>
        <n v="7"/>
        <n v="4"/>
        <n v="1"/>
        <n v="10"/>
        <n v="5"/>
        <n v="6"/>
        <n v="2"/>
        <n v="3"/>
        <n v="12"/>
        <n v="8"/>
      </sharedItems>
    </cacheField>
    <cacheField name="Unit Price" numFmtId="0">
      <sharedItems containsSemiMixedTypes="0" containsString="0" containsNumber="1" containsInteger="1" minValue="500" maxValue="45000"/>
    </cacheField>
    <cacheField name="Sales" numFmtId="0">
      <sharedItems containsSemiMixedTypes="0" containsString="0" containsNumber="1" containsInteger="1" minValue="500" maxValue="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x v="0"/>
    <x v="0"/>
    <x v="0"/>
  </r>
  <r>
    <x v="0"/>
    <x v="1"/>
    <x v="0"/>
  </r>
  <r>
    <x v="1"/>
    <x v="2"/>
    <x v="0"/>
  </r>
  <r>
    <x v="2"/>
    <x v="3"/>
    <x v="0"/>
  </r>
  <r>
    <x v="3"/>
    <x v="4"/>
    <x v="0"/>
  </r>
  <r>
    <x v="4"/>
    <x v="5"/>
    <x v="0"/>
  </r>
  <r>
    <x v="5"/>
    <x v="0"/>
    <x v="0"/>
  </r>
  <r>
    <x v="6"/>
    <x v="6"/>
    <x v="0"/>
  </r>
  <r>
    <x v="7"/>
    <x v="7"/>
    <x v="0"/>
  </r>
  <r>
    <x v="8"/>
    <x v="8"/>
    <x v="1"/>
  </r>
  <r>
    <x v="9"/>
    <x v="9"/>
    <x v="1"/>
  </r>
  <r>
    <x v="10"/>
    <x v="10"/>
    <x v="1"/>
  </r>
  <r>
    <x v="11"/>
    <x v="1"/>
    <x v="1"/>
  </r>
  <r>
    <x v="12"/>
    <x v="11"/>
    <x v="1"/>
  </r>
  <r>
    <x v="12"/>
    <x v="12"/>
    <x v="1"/>
  </r>
  <r>
    <x v="13"/>
    <x v="13"/>
    <x v="1"/>
  </r>
  <r>
    <x v="14"/>
    <x v="14"/>
    <x v="1"/>
  </r>
  <r>
    <x v="14"/>
    <x v="15"/>
    <x v="1"/>
  </r>
  <r>
    <x v="15"/>
    <x v="3"/>
    <x v="1"/>
  </r>
  <r>
    <x v="16"/>
    <x v="16"/>
    <x v="2"/>
  </r>
  <r>
    <x v="17"/>
    <x v="17"/>
    <x v="2"/>
  </r>
  <r>
    <x v="18"/>
    <x v="13"/>
    <x v="2"/>
  </r>
  <r>
    <x v="18"/>
    <x v="15"/>
    <x v="2"/>
  </r>
  <r>
    <x v="18"/>
    <x v="18"/>
    <x v="2"/>
  </r>
  <r>
    <x v="19"/>
    <x v="19"/>
    <x v="2"/>
  </r>
  <r>
    <x v="20"/>
    <x v="20"/>
    <x v="2"/>
  </r>
  <r>
    <x v="21"/>
    <x v="11"/>
    <x v="3"/>
  </r>
  <r>
    <x v="21"/>
    <x v="18"/>
    <x v="3"/>
  </r>
  <r>
    <x v="22"/>
    <x v="21"/>
    <x v="3"/>
  </r>
  <r>
    <x v="23"/>
    <x v="22"/>
    <x v="3"/>
  </r>
  <r>
    <x v="24"/>
    <x v="22"/>
    <x v="3"/>
  </r>
  <r>
    <x v="25"/>
    <x v="23"/>
    <x v="3"/>
  </r>
  <r>
    <x v="26"/>
    <x v="24"/>
    <x v="3"/>
  </r>
  <r>
    <x v="27"/>
    <x v="25"/>
    <x v="3"/>
  </r>
  <r>
    <x v="28"/>
    <x v="26"/>
    <x v="3"/>
  </r>
  <r>
    <x v="28"/>
    <x v="27"/>
    <x v="3"/>
  </r>
  <r>
    <x v="29"/>
    <x v="28"/>
    <x v="3"/>
  </r>
  <r>
    <x v="30"/>
    <x v="29"/>
    <x v="3"/>
  </r>
  <r>
    <x v="31"/>
    <x v="30"/>
    <x v="4"/>
  </r>
  <r>
    <x v="31"/>
    <x v="31"/>
    <x v="4"/>
  </r>
  <r>
    <x v="32"/>
    <x v="32"/>
    <x v="4"/>
  </r>
  <r>
    <x v="33"/>
    <x v="33"/>
    <x v="4"/>
  </r>
  <r>
    <x v="34"/>
    <x v="25"/>
    <x v="4"/>
  </r>
  <r>
    <x v="34"/>
    <x v="13"/>
    <x v="4"/>
  </r>
  <r>
    <x v="35"/>
    <x v="19"/>
    <x v="4"/>
  </r>
  <r>
    <x v="36"/>
    <x v="25"/>
    <x v="4"/>
  </r>
  <r>
    <x v="37"/>
    <x v="34"/>
    <x v="4"/>
  </r>
  <r>
    <x v="37"/>
    <x v="27"/>
    <x v="4"/>
  </r>
  <r>
    <x v="37"/>
    <x v="20"/>
    <x v="4"/>
  </r>
  <r>
    <x v="38"/>
    <x v="15"/>
    <x v="4"/>
  </r>
  <r>
    <x v="39"/>
    <x v="35"/>
    <x v="4"/>
  </r>
  <r>
    <x v="40"/>
    <x v="36"/>
    <x v="4"/>
  </r>
  <r>
    <x v="40"/>
    <x v="37"/>
    <x v="4"/>
  </r>
  <r>
    <x v="40"/>
    <x v="38"/>
    <x v="4"/>
  </r>
  <r>
    <x v="41"/>
    <x v="25"/>
    <x v="4"/>
  </r>
  <r>
    <x v="42"/>
    <x v="39"/>
    <x v="4"/>
  </r>
  <r>
    <x v="43"/>
    <x v="40"/>
    <x v="5"/>
  </r>
  <r>
    <x v="44"/>
    <x v="39"/>
    <x v="5"/>
  </r>
  <r>
    <x v="45"/>
    <x v="10"/>
    <x v="5"/>
  </r>
  <r>
    <x v="45"/>
    <x v="20"/>
    <x v="5"/>
  </r>
  <r>
    <x v="46"/>
    <x v="38"/>
    <x v="5"/>
  </r>
  <r>
    <x v="47"/>
    <x v="38"/>
    <x v="5"/>
  </r>
  <r>
    <x v="48"/>
    <x v="29"/>
    <x v="5"/>
  </r>
  <r>
    <x v="49"/>
    <x v="41"/>
    <x v="5"/>
  </r>
  <r>
    <x v="50"/>
    <x v="17"/>
    <x v="5"/>
  </r>
  <r>
    <x v="51"/>
    <x v="2"/>
    <x v="5"/>
  </r>
  <r>
    <x v="52"/>
    <x v="21"/>
    <x v="6"/>
  </r>
  <r>
    <x v="53"/>
    <x v="21"/>
    <x v="6"/>
  </r>
  <r>
    <x v="54"/>
    <x v="0"/>
    <x v="6"/>
  </r>
  <r>
    <x v="55"/>
    <x v="42"/>
    <x v="6"/>
  </r>
  <r>
    <x v="56"/>
    <x v="43"/>
    <x v="6"/>
  </r>
  <r>
    <x v="57"/>
    <x v="44"/>
    <x v="7"/>
  </r>
  <r>
    <x v="57"/>
    <x v="14"/>
    <x v="7"/>
  </r>
  <r>
    <x v="58"/>
    <x v="45"/>
    <x v="7"/>
  </r>
  <r>
    <x v="59"/>
    <x v="45"/>
    <x v="7"/>
  </r>
  <r>
    <x v="59"/>
    <x v="35"/>
    <x v="7"/>
  </r>
  <r>
    <x v="60"/>
    <x v="35"/>
    <x v="7"/>
  </r>
  <r>
    <x v="61"/>
    <x v="30"/>
    <x v="7"/>
  </r>
  <r>
    <x v="61"/>
    <x v="46"/>
    <x v="7"/>
  </r>
  <r>
    <x v="62"/>
    <x v="34"/>
    <x v="7"/>
  </r>
  <r>
    <x v="63"/>
    <x v="47"/>
    <x v="7"/>
  </r>
  <r>
    <x v="64"/>
    <x v="38"/>
    <x v="7"/>
  </r>
  <r>
    <x v="65"/>
    <x v="45"/>
    <x v="8"/>
  </r>
  <r>
    <x v="66"/>
    <x v="19"/>
    <x v="8"/>
  </r>
  <r>
    <x v="67"/>
    <x v="48"/>
    <x v="8"/>
  </r>
  <r>
    <x v="68"/>
    <x v="49"/>
    <x v="8"/>
  </r>
  <r>
    <x v="69"/>
    <x v="14"/>
    <x v="8"/>
  </r>
  <r>
    <x v="70"/>
    <x v="5"/>
    <x v="8"/>
  </r>
  <r>
    <x v="71"/>
    <x v="23"/>
    <x v="8"/>
  </r>
  <r>
    <x v="72"/>
    <x v="49"/>
    <x v="9"/>
  </r>
  <r>
    <x v="72"/>
    <x v="49"/>
    <x v="9"/>
  </r>
  <r>
    <x v="73"/>
    <x v="50"/>
    <x v="9"/>
  </r>
  <r>
    <x v="73"/>
    <x v="33"/>
    <x v="9"/>
  </r>
  <r>
    <x v="74"/>
    <x v="51"/>
    <x v="9"/>
  </r>
  <r>
    <x v="74"/>
    <x v="32"/>
    <x v="9"/>
  </r>
  <r>
    <x v="75"/>
    <x v="5"/>
    <x v="9"/>
  </r>
  <r>
    <x v="76"/>
    <x v="52"/>
    <x v="9"/>
  </r>
  <r>
    <x v="77"/>
    <x v="19"/>
    <x v="9"/>
  </r>
  <r>
    <x v="78"/>
    <x v="33"/>
    <x v="9"/>
  </r>
  <r>
    <x v="79"/>
    <x v="53"/>
    <x v="9"/>
  </r>
  <r>
    <x v="80"/>
    <x v="16"/>
    <x v="9"/>
  </r>
  <r>
    <x v="81"/>
    <x v="28"/>
    <x v="10"/>
  </r>
  <r>
    <x v="81"/>
    <x v="28"/>
    <x v="10"/>
  </r>
  <r>
    <x v="82"/>
    <x v="50"/>
    <x v="10"/>
  </r>
  <r>
    <x v="83"/>
    <x v="54"/>
    <x v="10"/>
  </r>
  <r>
    <x v="84"/>
    <x v="14"/>
    <x v="10"/>
  </r>
  <r>
    <x v="85"/>
    <x v="55"/>
    <x v="10"/>
  </r>
  <r>
    <x v="86"/>
    <x v="35"/>
    <x v="10"/>
  </r>
  <r>
    <x v="87"/>
    <x v="27"/>
    <x v="10"/>
  </r>
  <r>
    <x v="88"/>
    <x v="23"/>
    <x v="10"/>
  </r>
  <r>
    <x v="89"/>
    <x v="32"/>
    <x v="10"/>
  </r>
  <r>
    <x v="90"/>
    <x v="34"/>
    <x v="11"/>
  </r>
  <r>
    <x v="91"/>
    <x v="56"/>
    <x v="11"/>
  </r>
  <r>
    <x v="92"/>
    <x v="57"/>
    <x v="11"/>
  </r>
  <r>
    <x v="93"/>
    <x v="58"/>
    <x v="11"/>
  </r>
  <r>
    <x v="94"/>
    <x v="1"/>
    <x v="11"/>
  </r>
  <r>
    <x v="95"/>
    <x v="11"/>
    <x v="11"/>
  </r>
  <r>
    <x v="96"/>
    <x v="40"/>
    <x v="11"/>
  </r>
  <r>
    <x v="97"/>
    <x v="0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9">
  <r>
    <x v="0"/>
    <n v="13200"/>
  </r>
  <r>
    <x v="1"/>
    <n v="76500"/>
  </r>
  <r>
    <x v="1"/>
    <n v="93500"/>
  </r>
  <r>
    <x v="0"/>
    <n v="10800"/>
  </r>
  <r>
    <x v="0"/>
    <n v="8400"/>
  </r>
  <r>
    <x v="2"/>
    <n v="48000"/>
  </r>
  <r>
    <x v="0"/>
    <n v="13200"/>
  </r>
  <r>
    <x v="3"/>
    <n v="495000"/>
  </r>
  <r>
    <x v="1"/>
    <n v="8500"/>
  </r>
  <r>
    <x v="2"/>
    <n v="120000"/>
  </r>
  <r>
    <x v="3"/>
    <n v="225000"/>
  </r>
  <r>
    <x v="3"/>
    <n v="450000"/>
  </r>
  <r>
    <x v="1"/>
    <n v="76500"/>
  </r>
  <r>
    <x v="4"/>
    <n v="19800"/>
  </r>
  <r>
    <x v="5"/>
    <n v="3500"/>
  </r>
  <r>
    <x v="1"/>
    <n v="51000"/>
  </r>
  <r>
    <x v="3"/>
    <n v="90000"/>
  </r>
  <r>
    <x v="1"/>
    <n v="85000"/>
  </r>
  <r>
    <x v="4"/>
    <n v="10800"/>
  </r>
  <r>
    <x v="4"/>
    <n v="18000"/>
  </r>
  <r>
    <x v="3"/>
    <n v="270000"/>
  </r>
  <r>
    <x v="1"/>
    <n v="51000"/>
  </r>
  <r>
    <x v="1"/>
    <n v="85000"/>
  </r>
  <r>
    <x v="1"/>
    <n v="59500"/>
  </r>
  <r>
    <x v="5"/>
    <n v="500"/>
  </r>
  <r>
    <x v="2"/>
    <n v="84000"/>
  </r>
  <r>
    <x v="4"/>
    <n v="19800"/>
  </r>
  <r>
    <x v="1"/>
    <n v="59500"/>
  </r>
  <r>
    <x v="0"/>
    <n v="1200"/>
  </r>
  <r>
    <x v="1"/>
    <n v="34000"/>
  </r>
  <r>
    <x v="1"/>
    <n v="34000"/>
  </r>
  <r>
    <x v="4"/>
    <n v="7200"/>
  </r>
  <r>
    <x v="4"/>
    <n v="5400"/>
  </r>
  <r>
    <x v="5"/>
    <n v="4500"/>
  </r>
  <r>
    <x v="5"/>
    <n v="1000"/>
  </r>
  <r>
    <x v="3"/>
    <n v="540000"/>
  </r>
  <r>
    <x v="3"/>
    <n v="315000"/>
  </r>
  <r>
    <x v="3"/>
    <n v="45000"/>
  </r>
  <r>
    <x v="0"/>
    <n v="4800"/>
  </r>
  <r>
    <x v="5"/>
    <n v="4000"/>
  </r>
  <r>
    <x v="4"/>
    <n v="3600"/>
  </r>
  <r>
    <x v="1"/>
    <n v="102000"/>
  </r>
  <r>
    <x v="5"/>
    <n v="4500"/>
  </r>
  <r>
    <x v="1"/>
    <n v="51000"/>
  </r>
  <r>
    <x v="5"/>
    <n v="500"/>
  </r>
  <r>
    <x v="5"/>
    <n v="4500"/>
  </r>
  <r>
    <x v="2"/>
    <n v="132000"/>
  </r>
  <r>
    <x v="3"/>
    <n v="540000"/>
  </r>
  <r>
    <x v="2"/>
    <n v="84000"/>
  </r>
  <r>
    <x v="1"/>
    <n v="85000"/>
  </r>
  <r>
    <x v="5"/>
    <n v="1500"/>
  </r>
  <r>
    <x v="2"/>
    <n v="36000"/>
  </r>
  <r>
    <x v="5"/>
    <n v="3000"/>
  </r>
  <r>
    <x v="2"/>
    <n v="24000"/>
  </r>
  <r>
    <x v="5"/>
    <n v="4500"/>
  </r>
  <r>
    <x v="2"/>
    <n v="96000"/>
  </r>
  <r>
    <x v="1"/>
    <n v="25500"/>
  </r>
  <r>
    <x v="2"/>
    <n v="96000"/>
  </r>
  <r>
    <x v="3"/>
    <n v="450000"/>
  </r>
  <r>
    <x v="2"/>
    <n v="84000"/>
  </r>
  <r>
    <x v="2"/>
    <n v="24000"/>
  </r>
  <r>
    <x v="2"/>
    <n v="24000"/>
  </r>
  <r>
    <x v="3"/>
    <n v="45000"/>
  </r>
  <r>
    <x v="0"/>
    <n v="6000"/>
  </r>
  <r>
    <x v="3"/>
    <n v="270000"/>
  </r>
  <r>
    <x v="1"/>
    <n v="93500"/>
  </r>
  <r>
    <x v="0"/>
    <n v="1200"/>
  </r>
  <r>
    <x v="0"/>
    <n v="1200"/>
  </r>
  <r>
    <x v="0"/>
    <n v="13200"/>
  </r>
  <r>
    <x v="5"/>
    <n v="5000"/>
  </r>
  <r>
    <x v="1"/>
    <n v="17000"/>
  </r>
  <r>
    <x v="2"/>
    <n v="144000"/>
  </r>
  <r>
    <x v="3"/>
    <n v="90000"/>
  </r>
  <r>
    <x v="4"/>
    <n v="1800"/>
  </r>
  <r>
    <x v="4"/>
    <n v="1800"/>
  </r>
  <r>
    <x v="5"/>
    <n v="1500"/>
  </r>
  <r>
    <x v="5"/>
    <n v="1500"/>
  </r>
  <r>
    <x v="0"/>
    <n v="4800"/>
  </r>
  <r>
    <x v="4"/>
    <n v="12600"/>
  </r>
  <r>
    <x v="2"/>
    <n v="132000"/>
  </r>
  <r>
    <x v="4"/>
    <n v="16200"/>
  </r>
  <r>
    <x v="2"/>
    <n v="24000"/>
  </r>
  <r>
    <x v="4"/>
    <n v="1800"/>
  </r>
  <r>
    <x v="5"/>
    <n v="500"/>
  </r>
  <r>
    <x v="3"/>
    <n v="135000"/>
  </r>
  <r>
    <x v="0"/>
    <n v="2400"/>
  </r>
  <r>
    <x v="3"/>
    <n v="90000"/>
  </r>
  <r>
    <x v="2"/>
    <n v="48000"/>
  </r>
  <r>
    <x v="4"/>
    <n v="7200"/>
  </r>
  <r>
    <x v="0"/>
    <n v="2400"/>
  </r>
  <r>
    <x v="0"/>
    <n v="2400"/>
  </r>
  <r>
    <x v="5"/>
    <n v="2000"/>
  </r>
  <r>
    <x v="1"/>
    <n v="102000"/>
  </r>
  <r>
    <x v="5"/>
    <n v="2500"/>
  </r>
  <r>
    <x v="0"/>
    <n v="3600"/>
  </r>
  <r>
    <x v="2"/>
    <n v="48000"/>
  </r>
  <r>
    <x v="3"/>
    <n v="405000"/>
  </r>
  <r>
    <x v="5"/>
    <n v="500"/>
  </r>
  <r>
    <x v="1"/>
    <n v="102000"/>
  </r>
  <r>
    <x v="2"/>
    <n v="72000"/>
  </r>
  <r>
    <x v="4"/>
    <n v="18000"/>
  </r>
  <r>
    <x v="3"/>
    <n v="315000"/>
  </r>
  <r>
    <x v="3"/>
    <n v="315000"/>
  </r>
  <r>
    <x v="5"/>
    <n v="2000"/>
  </r>
  <r>
    <x v="0"/>
    <n v="14400"/>
  </r>
  <r>
    <x v="3"/>
    <n v="90000"/>
  </r>
  <r>
    <x v="2"/>
    <n v="12000"/>
  </r>
  <r>
    <x v="5"/>
    <n v="1500"/>
  </r>
  <r>
    <x v="3"/>
    <n v="540000"/>
  </r>
  <r>
    <x v="0"/>
    <n v="7200"/>
  </r>
  <r>
    <x v="4"/>
    <n v="3600"/>
  </r>
  <r>
    <x v="2"/>
    <n v="132000"/>
  </r>
  <r>
    <x v="4"/>
    <n v="9000"/>
  </r>
  <r>
    <x v="2"/>
    <n v="60000"/>
  </r>
  <r>
    <x v="1"/>
    <n v="42500"/>
  </r>
  <r>
    <x v="1"/>
    <n v="76500"/>
  </r>
  <r>
    <x v="4"/>
    <n v="19800"/>
  </r>
  <r>
    <x v="1"/>
    <n v="25500"/>
  </r>
  <r>
    <x v="0"/>
    <n v="13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9">
  <r>
    <x v="0"/>
    <n v="13200"/>
  </r>
  <r>
    <x v="1"/>
    <n v="76500"/>
  </r>
  <r>
    <x v="2"/>
    <n v="93500"/>
  </r>
  <r>
    <x v="2"/>
    <n v="10800"/>
  </r>
  <r>
    <x v="0"/>
    <n v="8400"/>
  </r>
  <r>
    <x v="0"/>
    <n v="48000"/>
  </r>
  <r>
    <x v="0"/>
    <n v="13200"/>
  </r>
  <r>
    <x v="0"/>
    <n v="495000"/>
  </r>
  <r>
    <x v="2"/>
    <n v="8500"/>
  </r>
  <r>
    <x v="3"/>
    <n v="120000"/>
  </r>
  <r>
    <x v="0"/>
    <n v="225000"/>
  </r>
  <r>
    <x v="3"/>
    <n v="450000"/>
  </r>
  <r>
    <x v="0"/>
    <n v="76500"/>
  </r>
  <r>
    <x v="1"/>
    <n v="19800"/>
  </r>
  <r>
    <x v="2"/>
    <n v="3500"/>
  </r>
  <r>
    <x v="3"/>
    <n v="51000"/>
  </r>
  <r>
    <x v="3"/>
    <n v="90000"/>
  </r>
  <r>
    <x v="2"/>
    <n v="85000"/>
  </r>
  <r>
    <x v="3"/>
    <n v="10800"/>
  </r>
  <r>
    <x v="0"/>
    <n v="18000"/>
  </r>
  <r>
    <x v="1"/>
    <n v="270000"/>
  </r>
  <r>
    <x v="3"/>
    <n v="51000"/>
  </r>
  <r>
    <x v="3"/>
    <n v="85000"/>
  </r>
  <r>
    <x v="2"/>
    <n v="59500"/>
  </r>
  <r>
    <x v="3"/>
    <n v="500"/>
  </r>
  <r>
    <x v="2"/>
    <n v="84000"/>
  </r>
  <r>
    <x v="2"/>
    <n v="19800"/>
  </r>
  <r>
    <x v="1"/>
    <n v="59500"/>
  </r>
  <r>
    <x v="0"/>
    <n v="1200"/>
  </r>
  <r>
    <x v="3"/>
    <n v="34000"/>
  </r>
  <r>
    <x v="1"/>
    <n v="34000"/>
  </r>
  <r>
    <x v="1"/>
    <n v="7200"/>
  </r>
  <r>
    <x v="1"/>
    <n v="5400"/>
  </r>
  <r>
    <x v="2"/>
    <n v="4500"/>
  </r>
  <r>
    <x v="3"/>
    <n v="1000"/>
  </r>
  <r>
    <x v="2"/>
    <n v="540000"/>
  </r>
  <r>
    <x v="0"/>
    <n v="315000"/>
  </r>
  <r>
    <x v="1"/>
    <n v="45000"/>
  </r>
  <r>
    <x v="3"/>
    <n v="4800"/>
  </r>
  <r>
    <x v="3"/>
    <n v="4000"/>
  </r>
  <r>
    <x v="2"/>
    <n v="3600"/>
  </r>
  <r>
    <x v="1"/>
    <n v="102000"/>
  </r>
  <r>
    <x v="0"/>
    <n v="4500"/>
  </r>
  <r>
    <x v="2"/>
    <n v="51000"/>
  </r>
  <r>
    <x v="1"/>
    <n v="500"/>
  </r>
  <r>
    <x v="3"/>
    <n v="4500"/>
  </r>
  <r>
    <x v="0"/>
    <n v="132000"/>
  </r>
  <r>
    <x v="2"/>
    <n v="540000"/>
  </r>
  <r>
    <x v="1"/>
    <n v="84000"/>
  </r>
  <r>
    <x v="2"/>
    <n v="85000"/>
  </r>
  <r>
    <x v="0"/>
    <n v="1500"/>
  </r>
  <r>
    <x v="1"/>
    <n v="36000"/>
  </r>
  <r>
    <x v="0"/>
    <n v="3000"/>
  </r>
  <r>
    <x v="0"/>
    <n v="24000"/>
  </r>
  <r>
    <x v="3"/>
    <n v="4500"/>
  </r>
  <r>
    <x v="0"/>
    <n v="96000"/>
  </r>
  <r>
    <x v="0"/>
    <n v="25500"/>
  </r>
  <r>
    <x v="1"/>
    <n v="96000"/>
  </r>
  <r>
    <x v="2"/>
    <n v="450000"/>
  </r>
  <r>
    <x v="2"/>
    <n v="84000"/>
  </r>
  <r>
    <x v="1"/>
    <n v="24000"/>
  </r>
  <r>
    <x v="2"/>
    <n v="24000"/>
  </r>
  <r>
    <x v="0"/>
    <n v="45000"/>
  </r>
  <r>
    <x v="2"/>
    <n v="6000"/>
  </r>
  <r>
    <x v="0"/>
    <n v="270000"/>
  </r>
  <r>
    <x v="3"/>
    <n v="93500"/>
  </r>
  <r>
    <x v="1"/>
    <n v="1200"/>
  </r>
  <r>
    <x v="0"/>
    <n v="1200"/>
  </r>
  <r>
    <x v="0"/>
    <n v="13200"/>
  </r>
  <r>
    <x v="2"/>
    <n v="5000"/>
  </r>
  <r>
    <x v="1"/>
    <n v="17000"/>
  </r>
  <r>
    <x v="3"/>
    <n v="144000"/>
  </r>
  <r>
    <x v="2"/>
    <n v="90000"/>
  </r>
  <r>
    <x v="2"/>
    <n v="1800"/>
  </r>
  <r>
    <x v="1"/>
    <n v="1800"/>
  </r>
  <r>
    <x v="3"/>
    <n v="1500"/>
  </r>
  <r>
    <x v="1"/>
    <n v="1500"/>
  </r>
  <r>
    <x v="1"/>
    <n v="4800"/>
  </r>
  <r>
    <x v="2"/>
    <n v="12600"/>
  </r>
  <r>
    <x v="1"/>
    <n v="132000"/>
  </r>
  <r>
    <x v="1"/>
    <n v="16200"/>
  </r>
  <r>
    <x v="0"/>
    <n v="24000"/>
  </r>
  <r>
    <x v="0"/>
    <n v="1800"/>
  </r>
  <r>
    <x v="3"/>
    <n v="500"/>
  </r>
  <r>
    <x v="0"/>
    <n v="135000"/>
  </r>
  <r>
    <x v="2"/>
    <n v="2400"/>
  </r>
  <r>
    <x v="0"/>
    <n v="90000"/>
  </r>
  <r>
    <x v="2"/>
    <n v="48000"/>
  </r>
  <r>
    <x v="3"/>
    <n v="7200"/>
  </r>
  <r>
    <x v="2"/>
    <n v="2400"/>
  </r>
  <r>
    <x v="1"/>
    <n v="2400"/>
  </r>
  <r>
    <x v="3"/>
    <n v="2000"/>
  </r>
  <r>
    <x v="0"/>
    <n v="102000"/>
  </r>
  <r>
    <x v="1"/>
    <n v="2500"/>
  </r>
  <r>
    <x v="2"/>
    <n v="3600"/>
  </r>
  <r>
    <x v="0"/>
    <n v="48000"/>
  </r>
  <r>
    <x v="2"/>
    <n v="405000"/>
  </r>
  <r>
    <x v="1"/>
    <n v="500"/>
  </r>
  <r>
    <x v="2"/>
    <n v="102000"/>
  </r>
  <r>
    <x v="3"/>
    <n v="72000"/>
  </r>
  <r>
    <x v="0"/>
    <n v="18000"/>
  </r>
  <r>
    <x v="2"/>
    <n v="315000"/>
  </r>
  <r>
    <x v="0"/>
    <n v="315000"/>
  </r>
  <r>
    <x v="1"/>
    <n v="2000"/>
  </r>
  <r>
    <x v="0"/>
    <n v="14400"/>
  </r>
  <r>
    <x v="0"/>
    <n v="90000"/>
  </r>
  <r>
    <x v="1"/>
    <n v="12000"/>
  </r>
  <r>
    <x v="0"/>
    <n v="1500"/>
  </r>
  <r>
    <x v="2"/>
    <n v="540000"/>
  </r>
  <r>
    <x v="3"/>
    <n v="7200"/>
  </r>
  <r>
    <x v="2"/>
    <n v="3600"/>
  </r>
  <r>
    <x v="3"/>
    <n v="132000"/>
  </r>
  <r>
    <x v="1"/>
    <n v="9000"/>
  </r>
  <r>
    <x v="0"/>
    <n v="60000"/>
  </r>
  <r>
    <x v="0"/>
    <n v="42500"/>
  </r>
  <r>
    <x v="1"/>
    <n v="76500"/>
  </r>
  <r>
    <x v="0"/>
    <n v="19800"/>
  </r>
  <r>
    <x v="3"/>
    <n v="25500"/>
  </r>
  <r>
    <x v="2"/>
    <n v="13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9">
  <r>
    <d v="2025-01-02T00:00:00"/>
    <x v="0"/>
    <x v="0"/>
    <x v="0"/>
    <n v="1200"/>
    <n v="13200"/>
  </r>
  <r>
    <d v="2025-01-02T00:00:00"/>
    <x v="1"/>
    <x v="1"/>
    <x v="1"/>
    <n v="8500"/>
    <n v="76500"/>
  </r>
  <r>
    <d v="2025-01-06T00:00:00"/>
    <x v="1"/>
    <x v="2"/>
    <x v="0"/>
    <n v="8500"/>
    <n v="93500"/>
  </r>
  <r>
    <d v="2025-01-17T00:00:00"/>
    <x v="0"/>
    <x v="2"/>
    <x v="1"/>
    <n v="1200"/>
    <n v="10800"/>
  </r>
  <r>
    <d v="2025-01-19T00:00:00"/>
    <x v="0"/>
    <x v="0"/>
    <x v="2"/>
    <n v="1200"/>
    <n v="8400"/>
  </r>
  <r>
    <d v="2025-01-20T00:00:00"/>
    <x v="2"/>
    <x v="0"/>
    <x v="3"/>
    <n v="12000"/>
    <n v="48000"/>
  </r>
  <r>
    <d v="2025-01-21T00:00:00"/>
    <x v="0"/>
    <x v="0"/>
    <x v="0"/>
    <n v="1200"/>
    <n v="13200"/>
  </r>
  <r>
    <d v="2025-01-25T00:00:00"/>
    <x v="3"/>
    <x v="0"/>
    <x v="0"/>
    <n v="45000"/>
    <n v="495000"/>
  </r>
  <r>
    <d v="2025-01-28T00:00:00"/>
    <x v="1"/>
    <x v="2"/>
    <x v="4"/>
    <n v="8500"/>
    <n v="8500"/>
  </r>
  <r>
    <d v="2025-02-02T00:00:00"/>
    <x v="2"/>
    <x v="3"/>
    <x v="5"/>
    <n v="12000"/>
    <n v="120000"/>
  </r>
  <r>
    <d v="2025-02-05T00:00:00"/>
    <x v="3"/>
    <x v="0"/>
    <x v="6"/>
    <n v="45000"/>
    <n v="225000"/>
  </r>
  <r>
    <d v="2025-02-07T00:00:00"/>
    <x v="3"/>
    <x v="3"/>
    <x v="5"/>
    <n v="45000"/>
    <n v="450000"/>
  </r>
  <r>
    <d v="2025-02-08T00:00:00"/>
    <x v="1"/>
    <x v="0"/>
    <x v="1"/>
    <n v="8500"/>
    <n v="76500"/>
  </r>
  <r>
    <d v="2025-02-10T00:00:00"/>
    <x v="4"/>
    <x v="1"/>
    <x v="0"/>
    <n v="1800"/>
    <n v="19800"/>
  </r>
  <r>
    <d v="2025-02-10T00:00:00"/>
    <x v="5"/>
    <x v="2"/>
    <x v="2"/>
    <n v="500"/>
    <n v="3500"/>
  </r>
  <r>
    <d v="2025-02-19T00:00:00"/>
    <x v="1"/>
    <x v="3"/>
    <x v="7"/>
    <n v="8500"/>
    <n v="51000"/>
  </r>
  <r>
    <d v="2025-02-22T00:00:00"/>
    <x v="3"/>
    <x v="3"/>
    <x v="8"/>
    <n v="45000"/>
    <n v="90000"/>
  </r>
  <r>
    <d v="2025-02-22T00:00:00"/>
    <x v="1"/>
    <x v="2"/>
    <x v="5"/>
    <n v="8500"/>
    <n v="85000"/>
  </r>
  <r>
    <d v="2025-02-25T00:00:00"/>
    <x v="4"/>
    <x v="3"/>
    <x v="7"/>
    <n v="1800"/>
    <n v="10800"/>
  </r>
  <r>
    <d v="2025-03-03T00:00:00"/>
    <x v="4"/>
    <x v="0"/>
    <x v="5"/>
    <n v="1800"/>
    <n v="18000"/>
  </r>
  <r>
    <d v="2025-03-07T00:00:00"/>
    <x v="3"/>
    <x v="1"/>
    <x v="7"/>
    <n v="45000"/>
    <n v="270000"/>
  </r>
  <r>
    <d v="2025-03-23T00:00:00"/>
    <x v="1"/>
    <x v="3"/>
    <x v="7"/>
    <n v="8500"/>
    <n v="51000"/>
  </r>
  <r>
    <d v="2025-03-23T00:00:00"/>
    <x v="1"/>
    <x v="3"/>
    <x v="5"/>
    <n v="8500"/>
    <n v="85000"/>
  </r>
  <r>
    <d v="2025-03-23T00:00:00"/>
    <x v="1"/>
    <x v="2"/>
    <x v="2"/>
    <n v="8500"/>
    <n v="59500"/>
  </r>
  <r>
    <d v="2025-03-25T00:00:00"/>
    <x v="5"/>
    <x v="3"/>
    <x v="4"/>
    <n v="500"/>
    <n v="500"/>
  </r>
  <r>
    <d v="2025-03-26T00:00:00"/>
    <x v="2"/>
    <x v="2"/>
    <x v="2"/>
    <n v="12000"/>
    <n v="84000"/>
  </r>
  <r>
    <d v="2025-04-02T00:00:00"/>
    <x v="4"/>
    <x v="2"/>
    <x v="0"/>
    <n v="1800"/>
    <n v="19800"/>
  </r>
  <r>
    <d v="2025-04-02T00:00:00"/>
    <x v="1"/>
    <x v="1"/>
    <x v="2"/>
    <n v="8500"/>
    <n v="59500"/>
  </r>
  <r>
    <d v="2025-04-08T00:00:00"/>
    <x v="0"/>
    <x v="0"/>
    <x v="4"/>
    <n v="1200"/>
    <n v="1200"/>
  </r>
  <r>
    <d v="2025-04-12T00:00:00"/>
    <x v="1"/>
    <x v="3"/>
    <x v="3"/>
    <n v="8500"/>
    <n v="34000"/>
  </r>
  <r>
    <d v="2025-04-15T00:00:00"/>
    <x v="1"/>
    <x v="1"/>
    <x v="3"/>
    <n v="8500"/>
    <n v="34000"/>
  </r>
  <r>
    <d v="2025-04-19T00:00:00"/>
    <x v="4"/>
    <x v="1"/>
    <x v="3"/>
    <n v="1800"/>
    <n v="7200"/>
  </r>
  <r>
    <d v="2025-04-20T00:00:00"/>
    <x v="4"/>
    <x v="1"/>
    <x v="9"/>
    <n v="1800"/>
    <n v="5400"/>
  </r>
  <r>
    <d v="2025-04-22T00:00:00"/>
    <x v="5"/>
    <x v="2"/>
    <x v="1"/>
    <n v="500"/>
    <n v="4500"/>
  </r>
  <r>
    <d v="2025-04-23T00:00:00"/>
    <x v="5"/>
    <x v="3"/>
    <x v="8"/>
    <n v="500"/>
    <n v="1000"/>
  </r>
  <r>
    <d v="2025-04-23T00:00:00"/>
    <x v="3"/>
    <x v="2"/>
    <x v="10"/>
    <n v="45000"/>
    <n v="540000"/>
  </r>
  <r>
    <d v="2025-04-25T00:00:00"/>
    <x v="3"/>
    <x v="0"/>
    <x v="2"/>
    <n v="45000"/>
    <n v="315000"/>
  </r>
  <r>
    <d v="2025-04-26T00:00:00"/>
    <x v="3"/>
    <x v="1"/>
    <x v="4"/>
    <n v="45000"/>
    <n v="45000"/>
  </r>
  <r>
    <d v="2025-05-02T00:00:00"/>
    <x v="0"/>
    <x v="3"/>
    <x v="3"/>
    <n v="1200"/>
    <n v="4800"/>
  </r>
  <r>
    <d v="2025-05-02T00:00:00"/>
    <x v="5"/>
    <x v="3"/>
    <x v="11"/>
    <n v="500"/>
    <n v="4000"/>
  </r>
  <r>
    <d v="2025-05-04T00:00:00"/>
    <x v="4"/>
    <x v="2"/>
    <x v="8"/>
    <n v="1800"/>
    <n v="3600"/>
  </r>
  <r>
    <d v="2025-05-07T00:00:00"/>
    <x v="1"/>
    <x v="1"/>
    <x v="10"/>
    <n v="8500"/>
    <n v="102000"/>
  </r>
  <r>
    <d v="2025-05-08T00:00:00"/>
    <x v="5"/>
    <x v="0"/>
    <x v="1"/>
    <n v="500"/>
    <n v="4500"/>
  </r>
  <r>
    <d v="2025-05-08T00:00:00"/>
    <x v="1"/>
    <x v="2"/>
    <x v="7"/>
    <n v="8500"/>
    <n v="51000"/>
  </r>
  <r>
    <d v="2025-05-14T00:00:00"/>
    <x v="5"/>
    <x v="1"/>
    <x v="4"/>
    <n v="500"/>
    <n v="500"/>
  </r>
  <r>
    <d v="2025-05-15T00:00:00"/>
    <x v="5"/>
    <x v="3"/>
    <x v="1"/>
    <n v="500"/>
    <n v="4500"/>
  </r>
  <r>
    <d v="2025-05-16T00:00:00"/>
    <x v="2"/>
    <x v="0"/>
    <x v="0"/>
    <n v="12000"/>
    <n v="132000"/>
  </r>
  <r>
    <d v="2025-05-16T00:00:00"/>
    <x v="3"/>
    <x v="2"/>
    <x v="10"/>
    <n v="45000"/>
    <n v="540000"/>
  </r>
  <r>
    <d v="2025-05-16T00:00:00"/>
    <x v="2"/>
    <x v="1"/>
    <x v="2"/>
    <n v="12000"/>
    <n v="84000"/>
  </r>
  <r>
    <d v="2025-05-17T00:00:00"/>
    <x v="1"/>
    <x v="2"/>
    <x v="5"/>
    <n v="8500"/>
    <n v="85000"/>
  </r>
  <r>
    <d v="2025-05-21T00:00:00"/>
    <x v="5"/>
    <x v="0"/>
    <x v="9"/>
    <n v="500"/>
    <n v="1500"/>
  </r>
  <r>
    <d v="2025-05-23T00:00:00"/>
    <x v="2"/>
    <x v="1"/>
    <x v="9"/>
    <n v="12000"/>
    <n v="36000"/>
  </r>
  <r>
    <d v="2025-05-23T00:00:00"/>
    <x v="5"/>
    <x v="0"/>
    <x v="7"/>
    <n v="500"/>
    <n v="3000"/>
  </r>
  <r>
    <d v="2025-05-23T00:00:00"/>
    <x v="2"/>
    <x v="0"/>
    <x v="8"/>
    <n v="12000"/>
    <n v="24000"/>
  </r>
  <r>
    <d v="2025-05-26T00:00:00"/>
    <x v="5"/>
    <x v="3"/>
    <x v="1"/>
    <n v="500"/>
    <n v="4500"/>
  </r>
  <r>
    <d v="2025-05-31T00:00:00"/>
    <x v="2"/>
    <x v="0"/>
    <x v="11"/>
    <n v="12000"/>
    <n v="96000"/>
  </r>
  <r>
    <d v="2025-06-02T00:00:00"/>
    <x v="1"/>
    <x v="0"/>
    <x v="9"/>
    <n v="8500"/>
    <n v="25500"/>
  </r>
  <r>
    <d v="2025-06-09T00:00:00"/>
    <x v="2"/>
    <x v="1"/>
    <x v="11"/>
    <n v="12000"/>
    <n v="96000"/>
  </r>
  <r>
    <d v="2025-06-10T00:00:00"/>
    <x v="3"/>
    <x v="2"/>
    <x v="5"/>
    <n v="45000"/>
    <n v="450000"/>
  </r>
  <r>
    <d v="2025-06-10T00:00:00"/>
    <x v="2"/>
    <x v="2"/>
    <x v="2"/>
    <n v="12000"/>
    <n v="84000"/>
  </r>
  <r>
    <d v="2025-06-11T00:00:00"/>
    <x v="2"/>
    <x v="1"/>
    <x v="8"/>
    <n v="12000"/>
    <n v="24000"/>
  </r>
  <r>
    <d v="2025-06-15T00:00:00"/>
    <x v="2"/>
    <x v="2"/>
    <x v="8"/>
    <n v="12000"/>
    <n v="24000"/>
  </r>
  <r>
    <d v="2025-06-16T00:00:00"/>
    <x v="3"/>
    <x v="0"/>
    <x v="4"/>
    <n v="45000"/>
    <n v="45000"/>
  </r>
  <r>
    <d v="2025-06-18T00:00:00"/>
    <x v="0"/>
    <x v="2"/>
    <x v="6"/>
    <n v="1200"/>
    <n v="6000"/>
  </r>
  <r>
    <d v="2025-06-28T00:00:00"/>
    <x v="3"/>
    <x v="0"/>
    <x v="7"/>
    <n v="45000"/>
    <n v="270000"/>
  </r>
  <r>
    <d v="2025-06-29T00:00:00"/>
    <x v="1"/>
    <x v="3"/>
    <x v="0"/>
    <n v="8500"/>
    <n v="93500"/>
  </r>
  <r>
    <d v="2025-07-03T00:00:00"/>
    <x v="0"/>
    <x v="1"/>
    <x v="4"/>
    <n v="1200"/>
    <n v="1200"/>
  </r>
  <r>
    <d v="2025-07-05T00:00:00"/>
    <x v="0"/>
    <x v="0"/>
    <x v="4"/>
    <n v="1200"/>
    <n v="1200"/>
  </r>
  <r>
    <d v="2025-07-09T00:00:00"/>
    <x v="0"/>
    <x v="0"/>
    <x v="0"/>
    <n v="1200"/>
    <n v="13200"/>
  </r>
  <r>
    <d v="2025-07-11T00:00:00"/>
    <x v="5"/>
    <x v="2"/>
    <x v="5"/>
    <n v="500"/>
    <n v="5000"/>
  </r>
  <r>
    <d v="2025-07-26T00:00:00"/>
    <x v="1"/>
    <x v="1"/>
    <x v="8"/>
    <n v="8500"/>
    <n v="17000"/>
  </r>
  <r>
    <d v="2025-08-05T00:00:00"/>
    <x v="2"/>
    <x v="3"/>
    <x v="10"/>
    <n v="12000"/>
    <n v="144000"/>
  </r>
  <r>
    <d v="2025-08-05T00:00:00"/>
    <x v="3"/>
    <x v="2"/>
    <x v="8"/>
    <n v="45000"/>
    <n v="90000"/>
  </r>
  <r>
    <d v="2025-08-15T00:00:00"/>
    <x v="4"/>
    <x v="2"/>
    <x v="4"/>
    <n v="1800"/>
    <n v="1800"/>
  </r>
  <r>
    <d v="2025-08-18T00:00:00"/>
    <x v="4"/>
    <x v="1"/>
    <x v="4"/>
    <n v="1800"/>
    <n v="1800"/>
  </r>
  <r>
    <d v="2025-08-18T00:00:00"/>
    <x v="5"/>
    <x v="3"/>
    <x v="9"/>
    <n v="500"/>
    <n v="1500"/>
  </r>
  <r>
    <d v="2025-08-23T00:00:00"/>
    <x v="5"/>
    <x v="1"/>
    <x v="9"/>
    <n v="500"/>
    <n v="1500"/>
  </r>
  <r>
    <d v="2025-08-24T00:00:00"/>
    <x v="0"/>
    <x v="1"/>
    <x v="3"/>
    <n v="1200"/>
    <n v="4800"/>
  </r>
  <r>
    <d v="2025-08-24T00:00:00"/>
    <x v="4"/>
    <x v="2"/>
    <x v="2"/>
    <n v="1800"/>
    <n v="12600"/>
  </r>
  <r>
    <d v="2025-08-25T00:00:00"/>
    <x v="2"/>
    <x v="1"/>
    <x v="0"/>
    <n v="12000"/>
    <n v="132000"/>
  </r>
  <r>
    <d v="2025-08-28T00:00:00"/>
    <x v="4"/>
    <x v="1"/>
    <x v="1"/>
    <n v="1800"/>
    <n v="16200"/>
  </r>
  <r>
    <d v="2025-08-31T00:00:00"/>
    <x v="2"/>
    <x v="0"/>
    <x v="8"/>
    <n v="12000"/>
    <n v="24000"/>
  </r>
  <r>
    <d v="2025-09-02T00:00:00"/>
    <x v="4"/>
    <x v="0"/>
    <x v="4"/>
    <n v="1800"/>
    <n v="1800"/>
  </r>
  <r>
    <d v="2025-09-04T00:00:00"/>
    <x v="5"/>
    <x v="3"/>
    <x v="4"/>
    <n v="500"/>
    <n v="500"/>
  </r>
  <r>
    <d v="2025-09-06T00:00:00"/>
    <x v="3"/>
    <x v="0"/>
    <x v="9"/>
    <n v="45000"/>
    <n v="135000"/>
  </r>
  <r>
    <d v="2025-09-08T00:00:00"/>
    <x v="0"/>
    <x v="2"/>
    <x v="8"/>
    <n v="1200"/>
    <n v="2400"/>
  </r>
  <r>
    <d v="2025-09-18T00:00:00"/>
    <x v="3"/>
    <x v="0"/>
    <x v="8"/>
    <n v="45000"/>
    <n v="90000"/>
  </r>
  <r>
    <d v="2025-09-22T00:00:00"/>
    <x v="2"/>
    <x v="2"/>
    <x v="3"/>
    <n v="12000"/>
    <n v="48000"/>
  </r>
  <r>
    <d v="2025-09-28T00:00:00"/>
    <x v="4"/>
    <x v="3"/>
    <x v="3"/>
    <n v="1800"/>
    <n v="7200"/>
  </r>
  <r>
    <d v="2025-10-02T00:00:00"/>
    <x v="0"/>
    <x v="2"/>
    <x v="8"/>
    <n v="1200"/>
    <n v="2400"/>
  </r>
  <r>
    <d v="2025-10-02T00:00:00"/>
    <x v="0"/>
    <x v="1"/>
    <x v="8"/>
    <n v="1200"/>
    <n v="2400"/>
  </r>
  <r>
    <d v="2025-10-04T00:00:00"/>
    <x v="5"/>
    <x v="3"/>
    <x v="3"/>
    <n v="500"/>
    <n v="2000"/>
  </r>
  <r>
    <d v="2025-10-04T00:00:00"/>
    <x v="1"/>
    <x v="0"/>
    <x v="10"/>
    <n v="8500"/>
    <n v="102000"/>
  </r>
  <r>
    <d v="2025-10-11T00:00:00"/>
    <x v="5"/>
    <x v="1"/>
    <x v="6"/>
    <n v="500"/>
    <n v="2500"/>
  </r>
  <r>
    <d v="2025-10-11T00:00:00"/>
    <x v="0"/>
    <x v="2"/>
    <x v="9"/>
    <n v="1200"/>
    <n v="3600"/>
  </r>
  <r>
    <d v="2025-10-14T00:00:00"/>
    <x v="2"/>
    <x v="0"/>
    <x v="3"/>
    <n v="12000"/>
    <n v="48000"/>
  </r>
  <r>
    <d v="2025-10-16T00:00:00"/>
    <x v="3"/>
    <x v="2"/>
    <x v="1"/>
    <n v="45000"/>
    <n v="405000"/>
  </r>
  <r>
    <d v="2025-10-23T00:00:00"/>
    <x v="5"/>
    <x v="1"/>
    <x v="4"/>
    <n v="500"/>
    <n v="500"/>
  </r>
  <r>
    <d v="2025-10-24T00:00:00"/>
    <x v="1"/>
    <x v="2"/>
    <x v="10"/>
    <n v="8500"/>
    <n v="102000"/>
  </r>
  <r>
    <d v="2025-10-27T00:00:00"/>
    <x v="2"/>
    <x v="3"/>
    <x v="7"/>
    <n v="12000"/>
    <n v="72000"/>
  </r>
  <r>
    <d v="2025-10-29T00:00:00"/>
    <x v="4"/>
    <x v="0"/>
    <x v="5"/>
    <n v="1800"/>
    <n v="18000"/>
  </r>
  <r>
    <d v="2025-11-01T00:00:00"/>
    <x v="3"/>
    <x v="2"/>
    <x v="2"/>
    <n v="45000"/>
    <n v="315000"/>
  </r>
  <r>
    <d v="2025-11-01T00:00:00"/>
    <x v="3"/>
    <x v="0"/>
    <x v="2"/>
    <n v="45000"/>
    <n v="315000"/>
  </r>
  <r>
    <d v="2025-11-06T00:00:00"/>
    <x v="5"/>
    <x v="1"/>
    <x v="3"/>
    <n v="500"/>
    <n v="2000"/>
  </r>
  <r>
    <d v="2025-11-13T00:00:00"/>
    <x v="0"/>
    <x v="0"/>
    <x v="10"/>
    <n v="1200"/>
    <n v="14400"/>
  </r>
  <r>
    <d v="2025-11-20T00:00:00"/>
    <x v="3"/>
    <x v="0"/>
    <x v="8"/>
    <n v="45000"/>
    <n v="90000"/>
  </r>
  <r>
    <d v="2025-11-21T00:00:00"/>
    <x v="2"/>
    <x v="1"/>
    <x v="4"/>
    <n v="12000"/>
    <n v="12000"/>
  </r>
  <r>
    <d v="2025-11-22T00:00:00"/>
    <x v="5"/>
    <x v="0"/>
    <x v="9"/>
    <n v="500"/>
    <n v="1500"/>
  </r>
  <r>
    <d v="2025-11-24T00:00:00"/>
    <x v="3"/>
    <x v="2"/>
    <x v="10"/>
    <n v="45000"/>
    <n v="540000"/>
  </r>
  <r>
    <d v="2025-11-27T00:00:00"/>
    <x v="0"/>
    <x v="3"/>
    <x v="7"/>
    <n v="1200"/>
    <n v="7200"/>
  </r>
  <r>
    <d v="2025-11-30T00:00:00"/>
    <x v="4"/>
    <x v="2"/>
    <x v="8"/>
    <n v="1800"/>
    <n v="3600"/>
  </r>
  <r>
    <d v="2025-12-02T00:00:00"/>
    <x v="2"/>
    <x v="3"/>
    <x v="0"/>
    <n v="12000"/>
    <n v="132000"/>
  </r>
  <r>
    <d v="2025-12-03T00:00:00"/>
    <x v="4"/>
    <x v="1"/>
    <x v="6"/>
    <n v="1800"/>
    <n v="9000"/>
  </r>
  <r>
    <d v="2025-12-04T00:00:00"/>
    <x v="2"/>
    <x v="0"/>
    <x v="6"/>
    <n v="12000"/>
    <n v="60000"/>
  </r>
  <r>
    <d v="2025-12-09T00:00:00"/>
    <x v="1"/>
    <x v="0"/>
    <x v="6"/>
    <n v="8500"/>
    <n v="42500"/>
  </r>
  <r>
    <d v="2025-12-18T00:00:00"/>
    <x v="1"/>
    <x v="1"/>
    <x v="1"/>
    <n v="8500"/>
    <n v="76500"/>
  </r>
  <r>
    <d v="2025-12-19T00:00:00"/>
    <x v="4"/>
    <x v="0"/>
    <x v="0"/>
    <n v="1800"/>
    <n v="19800"/>
  </r>
  <r>
    <d v="2025-12-23T00:00:00"/>
    <x v="1"/>
    <x v="3"/>
    <x v="9"/>
    <n v="8500"/>
    <n v="25500"/>
  </r>
  <r>
    <d v="2025-12-27T00:00:00"/>
    <x v="0"/>
    <x v="2"/>
    <x v="0"/>
    <n v="1200"/>
    <n v="1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4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 rowHeaderCaption="Month Year">
  <location ref="A1:B14" firstHeaderRow="1" firstDataRow="1" firstDataCol="1"/>
  <pivotFields count="3">
    <pivotField numFmtId="165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showAll="0">
      <items count="60">
        <item x="19"/>
        <item x="26"/>
        <item x="21"/>
        <item x="35"/>
        <item x="45"/>
        <item x="50"/>
        <item x="49"/>
        <item x="51"/>
        <item x="37"/>
        <item x="12"/>
        <item x="32"/>
        <item x="31"/>
        <item x="25"/>
        <item x="30"/>
        <item x="42"/>
        <item x="24"/>
        <item x="41"/>
        <item x="23"/>
        <item x="4"/>
        <item x="7"/>
        <item x="56"/>
        <item x="3"/>
        <item x="55"/>
        <item x="46"/>
        <item x="0"/>
        <item x="54"/>
        <item x="47"/>
        <item x="43"/>
        <item x="16"/>
        <item x="11"/>
        <item x="38"/>
        <item x="40"/>
        <item x="22"/>
        <item x="36"/>
        <item x="58"/>
        <item x="29"/>
        <item x="5"/>
        <item x="13"/>
        <item x="18"/>
        <item x="57"/>
        <item x="53"/>
        <item x="1"/>
        <item x="20"/>
        <item x="15"/>
        <item x="14"/>
        <item x="2"/>
        <item x="39"/>
        <item x="33"/>
        <item x="8"/>
        <item x="34"/>
        <item x="48"/>
        <item x="44"/>
        <item x="9"/>
        <item x="17"/>
        <item x="28"/>
        <item x="52"/>
        <item x="10"/>
        <item x="6"/>
        <item x="27"/>
        <item t="default"/>
      </items>
    </pivotField>
    <pivotField axis="axisRow"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" baseField="0" baseItem="0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 rowHeaderCaption="Product">
  <location ref="A1:B8" firstHeaderRow="1" firstDataRow="1" firstDataCol="1"/>
  <pivotFields count="2">
    <pivotField axis="axisRow" showAll="0">
      <items count="7">
        <item x="4"/>
        <item x="0"/>
        <item x="3"/>
        <item x="2"/>
        <item x="5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Region">
  <location ref="A1:B6" firstHeaderRow="1" firstDataRow="1" firstDataCol="1"/>
  <pivotFields count="2">
    <pivotField axis="axisRow"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0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7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roducts">
  <location ref="A2:B9" firstHeaderRow="1" firstDataRow="1" firstDataCol="1"/>
  <pivotFields count="6">
    <pivotField numFmtId="15"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ataField="1" showAll="0">
      <items count="13">
        <item x="4"/>
        <item x="8"/>
        <item x="9"/>
        <item x="3"/>
        <item x="6"/>
        <item x="7"/>
        <item x="2"/>
        <item x="11"/>
        <item x="1"/>
        <item x="5"/>
        <item x="0"/>
        <item x="1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9" displayName="Table9" ref="A1:G120" totalsRowShown="0" headerRowDxfId="9" headerRowBorderDxfId="8" tableBorderDxfId="7">
  <autoFilter ref="A1:G120"/>
  <tableColumns count="7">
    <tableColumn id="1" name="Date" dataDxfId="6"/>
    <tableColumn id="2" name="Product" dataDxfId="5"/>
    <tableColumn id="3" name="Region" dataDxfId="4"/>
    <tableColumn id="4" name="Quantity" dataDxfId="3"/>
    <tableColumn id="5" name="Unit Price" dataDxfId="2"/>
    <tableColumn id="6" name="Sales" dataDxfId="1">
      <calculatedColumnFormula>D2*E2</calculatedColumnFormula>
    </tableColumn>
    <tableColumn id="7" name="Month Year." dataDxfId="0">
      <calculatedColumnFormula>TEXT(A2,"mmm yyyy")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L8" sqref="L8"/>
    </sheetView>
  </sheetViews>
  <sheetFormatPr defaultRowHeight="14.5" x14ac:dyDescent="0.35"/>
  <cols>
    <col min="1" max="2" width="15.26953125" customWidth="1"/>
  </cols>
  <sheetData>
    <row r="1" spans="1:2" x14ac:dyDescent="0.35">
      <c r="A1" s="4" t="s">
        <v>0</v>
      </c>
      <c r="B1" t="s">
        <v>1</v>
      </c>
    </row>
    <row r="2" spans="1:2" x14ac:dyDescent="0.35">
      <c r="A2" s="2">
        <v>45658</v>
      </c>
      <c r="B2" s="3">
        <v>767100</v>
      </c>
    </row>
    <row r="3" spans="1:2" x14ac:dyDescent="0.35">
      <c r="A3" s="2">
        <v>45689</v>
      </c>
      <c r="B3" s="3">
        <v>1131600</v>
      </c>
    </row>
    <row r="4" spans="1:2" x14ac:dyDescent="0.35">
      <c r="A4" s="2">
        <v>45717</v>
      </c>
      <c r="B4" s="3">
        <v>568000</v>
      </c>
    </row>
    <row r="5" spans="1:2" x14ac:dyDescent="0.35">
      <c r="A5" s="2">
        <v>45748</v>
      </c>
      <c r="B5" s="3">
        <v>1066600</v>
      </c>
    </row>
    <row r="6" spans="1:2" x14ac:dyDescent="0.35">
      <c r="A6" s="2">
        <v>45778</v>
      </c>
      <c r="B6" s="3">
        <v>1180900</v>
      </c>
    </row>
    <row r="7" spans="1:2" x14ac:dyDescent="0.35">
      <c r="A7" s="2">
        <v>45809</v>
      </c>
      <c r="B7" s="3">
        <v>1118000</v>
      </c>
    </row>
    <row r="8" spans="1:2" x14ac:dyDescent="0.35">
      <c r="A8" s="2">
        <v>45839</v>
      </c>
      <c r="B8" s="3">
        <v>37600</v>
      </c>
    </row>
    <row r="9" spans="1:2" x14ac:dyDescent="0.35">
      <c r="A9" s="2">
        <v>45870</v>
      </c>
      <c r="B9" s="3">
        <v>430200</v>
      </c>
    </row>
    <row r="10" spans="1:2" x14ac:dyDescent="0.35">
      <c r="A10" s="2">
        <v>45901</v>
      </c>
      <c r="B10" s="3">
        <v>284900</v>
      </c>
    </row>
    <row r="11" spans="1:2" x14ac:dyDescent="0.35">
      <c r="A11" s="2">
        <v>45931</v>
      </c>
      <c r="B11" s="3">
        <v>760400</v>
      </c>
    </row>
    <row r="12" spans="1:2" x14ac:dyDescent="0.35">
      <c r="A12" s="2">
        <v>45962</v>
      </c>
      <c r="B12" s="3">
        <v>1300700</v>
      </c>
    </row>
    <row r="13" spans="1:2" x14ac:dyDescent="0.35">
      <c r="A13" s="2">
        <v>45992</v>
      </c>
      <c r="B13" s="3">
        <v>378500</v>
      </c>
    </row>
    <row r="14" spans="1:2" x14ac:dyDescent="0.35">
      <c r="A14" s="2" t="s">
        <v>2</v>
      </c>
      <c r="B14" s="3">
        <v>9024500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4.5" x14ac:dyDescent="0.35"/>
  <cols>
    <col min="1" max="1" width="14.453125" customWidth="1"/>
    <col min="2" max="2" width="13.81640625" customWidth="1"/>
  </cols>
  <sheetData>
    <row r="1" spans="1:2" x14ac:dyDescent="0.35">
      <c r="A1" s="4" t="s">
        <v>3</v>
      </c>
      <c r="B1" t="s">
        <v>4</v>
      </c>
    </row>
    <row r="2" spans="1:2" x14ac:dyDescent="0.35">
      <c r="A2" s="5" t="s">
        <v>5</v>
      </c>
      <c r="B2" s="3">
        <v>176400</v>
      </c>
    </row>
    <row r="3" spans="1:2" x14ac:dyDescent="0.35">
      <c r="A3" s="5" t="s">
        <v>6</v>
      </c>
      <c r="B3" s="3">
        <v>123600</v>
      </c>
    </row>
    <row r="4" spans="1:2" x14ac:dyDescent="0.35">
      <c r="A4" s="5" t="s">
        <v>7</v>
      </c>
      <c r="B4" s="3">
        <v>5715000</v>
      </c>
    </row>
    <row r="5" spans="1:2" x14ac:dyDescent="0.35">
      <c r="A5" s="5" t="s">
        <v>8</v>
      </c>
      <c r="B5" s="3">
        <v>1524000</v>
      </c>
    </row>
    <row r="6" spans="1:2" x14ac:dyDescent="0.35">
      <c r="A6" s="5" t="s">
        <v>9</v>
      </c>
      <c r="B6" s="3">
        <v>49000</v>
      </c>
    </row>
    <row r="7" spans="1:2" x14ac:dyDescent="0.35">
      <c r="A7" s="5" t="s">
        <v>10</v>
      </c>
      <c r="B7" s="3">
        <v>1436500</v>
      </c>
    </row>
    <row r="8" spans="1:2" x14ac:dyDescent="0.35">
      <c r="A8" s="5" t="s">
        <v>2</v>
      </c>
      <c r="B8" s="3">
        <v>9024500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I1" sqref="I1"/>
    </sheetView>
  </sheetViews>
  <sheetFormatPr defaultRowHeight="14.5" x14ac:dyDescent="0.35"/>
  <cols>
    <col min="1" max="1" width="17.453125" customWidth="1"/>
    <col min="2" max="2" width="18.1796875" customWidth="1"/>
    <col min="3" max="3" width="16.26953125" customWidth="1"/>
    <col min="4" max="4" width="21.36328125" customWidth="1"/>
    <col min="5" max="5" width="20.81640625" customWidth="1"/>
    <col min="6" max="6" width="17.08984375" customWidth="1"/>
    <col min="7" max="7" width="17.90625" customWidth="1"/>
  </cols>
  <sheetData>
    <row r="1" spans="1:7" x14ac:dyDescent="0.35">
      <c r="A1" s="6" t="s">
        <v>11</v>
      </c>
      <c r="B1" s="7" t="s">
        <v>3</v>
      </c>
      <c r="C1" s="7" t="s">
        <v>12</v>
      </c>
      <c r="D1" s="7" t="s">
        <v>13</v>
      </c>
      <c r="E1" s="7" t="s">
        <v>14</v>
      </c>
      <c r="F1" s="8" t="s">
        <v>15</v>
      </c>
      <c r="G1" s="9" t="s">
        <v>16</v>
      </c>
    </row>
    <row r="2" spans="1:7" x14ac:dyDescent="0.35">
      <c r="A2" s="10">
        <v>45659</v>
      </c>
      <c r="B2" s="11" t="s">
        <v>6</v>
      </c>
      <c r="C2" s="11" t="s">
        <v>17</v>
      </c>
      <c r="D2" s="11">
        <v>11</v>
      </c>
      <c r="E2" s="11">
        <v>1200</v>
      </c>
      <c r="F2">
        <f>D2*E2</f>
        <v>13200</v>
      </c>
      <c r="G2" s="12" t="str">
        <f>TEXT(A2,"mmm yyyy")</f>
        <v>Jan 2025</v>
      </c>
    </row>
    <row r="3" spans="1:7" x14ac:dyDescent="0.35">
      <c r="A3" s="10">
        <v>45659</v>
      </c>
      <c r="B3" s="11" t="s">
        <v>10</v>
      </c>
      <c r="C3" s="11" t="s">
        <v>18</v>
      </c>
      <c r="D3" s="11">
        <v>9</v>
      </c>
      <c r="E3" s="11">
        <v>8500</v>
      </c>
      <c r="F3" s="12">
        <f t="shared" ref="F3:F66" si="0">D3*E3</f>
        <v>76500</v>
      </c>
      <c r="G3" s="12" t="str">
        <f t="shared" ref="G3:G66" si="1">TEXT(A3,"mmm yyyy")</f>
        <v>Jan 2025</v>
      </c>
    </row>
    <row r="4" spans="1:7" x14ac:dyDescent="0.35">
      <c r="A4" s="10">
        <v>45663</v>
      </c>
      <c r="B4" s="11" t="s">
        <v>10</v>
      </c>
      <c r="C4" s="11" t="s">
        <v>19</v>
      </c>
      <c r="D4" s="11">
        <v>11</v>
      </c>
      <c r="E4" s="11">
        <v>8500</v>
      </c>
      <c r="F4" s="12">
        <f t="shared" si="0"/>
        <v>93500</v>
      </c>
      <c r="G4" s="12" t="str">
        <f t="shared" si="1"/>
        <v>Jan 2025</v>
      </c>
    </row>
    <row r="5" spans="1:7" x14ac:dyDescent="0.35">
      <c r="A5" s="10">
        <v>45674</v>
      </c>
      <c r="B5" s="11" t="s">
        <v>6</v>
      </c>
      <c r="C5" s="11" t="s">
        <v>19</v>
      </c>
      <c r="D5" s="11">
        <v>9</v>
      </c>
      <c r="E5" s="11">
        <v>1200</v>
      </c>
      <c r="F5" s="12">
        <f t="shared" si="0"/>
        <v>10800</v>
      </c>
      <c r="G5" s="12" t="str">
        <f t="shared" si="1"/>
        <v>Jan 2025</v>
      </c>
    </row>
    <row r="6" spans="1:7" x14ac:dyDescent="0.35">
      <c r="A6" s="10">
        <v>45676</v>
      </c>
      <c r="B6" s="11" t="s">
        <v>6</v>
      </c>
      <c r="C6" s="11" t="s">
        <v>17</v>
      </c>
      <c r="D6" s="11">
        <v>7</v>
      </c>
      <c r="E6" s="11">
        <v>1200</v>
      </c>
      <c r="F6" s="12">
        <f t="shared" si="0"/>
        <v>8400</v>
      </c>
      <c r="G6" s="12" t="str">
        <f t="shared" si="1"/>
        <v>Jan 2025</v>
      </c>
    </row>
    <row r="7" spans="1:7" x14ac:dyDescent="0.35">
      <c r="A7" s="10">
        <v>45677</v>
      </c>
      <c r="B7" s="11" t="s">
        <v>8</v>
      </c>
      <c r="C7" s="11" t="s">
        <v>17</v>
      </c>
      <c r="D7" s="11">
        <v>4</v>
      </c>
      <c r="E7" s="11">
        <v>12000</v>
      </c>
      <c r="F7" s="12">
        <f t="shared" si="0"/>
        <v>48000</v>
      </c>
      <c r="G7" s="12" t="str">
        <f t="shared" si="1"/>
        <v>Jan 2025</v>
      </c>
    </row>
    <row r="8" spans="1:7" x14ac:dyDescent="0.35">
      <c r="A8" s="10">
        <v>45678</v>
      </c>
      <c r="B8" s="11" t="s">
        <v>6</v>
      </c>
      <c r="C8" s="11" t="s">
        <v>17</v>
      </c>
      <c r="D8" s="11">
        <v>11</v>
      </c>
      <c r="E8" s="11">
        <v>1200</v>
      </c>
      <c r="F8" s="12">
        <f t="shared" si="0"/>
        <v>13200</v>
      </c>
      <c r="G8" s="12" t="str">
        <f t="shared" si="1"/>
        <v>Jan 2025</v>
      </c>
    </row>
    <row r="9" spans="1:7" x14ac:dyDescent="0.35">
      <c r="A9" s="10">
        <v>45682</v>
      </c>
      <c r="B9" s="11" t="s">
        <v>7</v>
      </c>
      <c r="C9" s="11" t="s">
        <v>17</v>
      </c>
      <c r="D9" s="11">
        <v>11</v>
      </c>
      <c r="E9" s="11">
        <v>45000</v>
      </c>
      <c r="F9" s="12">
        <f t="shared" si="0"/>
        <v>495000</v>
      </c>
      <c r="G9" s="12" t="str">
        <f t="shared" si="1"/>
        <v>Jan 2025</v>
      </c>
    </row>
    <row r="10" spans="1:7" x14ac:dyDescent="0.35">
      <c r="A10" s="10">
        <v>45685</v>
      </c>
      <c r="B10" s="11" t="s">
        <v>10</v>
      </c>
      <c r="C10" s="11" t="s">
        <v>19</v>
      </c>
      <c r="D10" s="11">
        <v>1</v>
      </c>
      <c r="E10" s="11">
        <v>8500</v>
      </c>
      <c r="F10" s="12">
        <f t="shared" si="0"/>
        <v>8500</v>
      </c>
      <c r="G10" s="12" t="str">
        <f t="shared" si="1"/>
        <v>Jan 2025</v>
      </c>
    </row>
    <row r="11" spans="1:7" x14ac:dyDescent="0.35">
      <c r="A11" s="10">
        <v>45690</v>
      </c>
      <c r="B11" s="11" t="s">
        <v>8</v>
      </c>
      <c r="C11" s="11" t="s">
        <v>20</v>
      </c>
      <c r="D11" s="11">
        <v>10</v>
      </c>
      <c r="E11" s="11">
        <v>12000</v>
      </c>
      <c r="F11" s="12">
        <f t="shared" si="0"/>
        <v>120000</v>
      </c>
      <c r="G11" s="12" t="str">
        <f t="shared" si="1"/>
        <v>Feb 2025</v>
      </c>
    </row>
    <row r="12" spans="1:7" x14ac:dyDescent="0.35">
      <c r="A12" s="10">
        <v>45693</v>
      </c>
      <c r="B12" s="11" t="s">
        <v>7</v>
      </c>
      <c r="C12" s="11" t="s">
        <v>17</v>
      </c>
      <c r="D12" s="11">
        <v>5</v>
      </c>
      <c r="E12" s="11">
        <v>45000</v>
      </c>
      <c r="F12" s="12">
        <f t="shared" si="0"/>
        <v>225000</v>
      </c>
      <c r="G12" s="12" t="str">
        <f t="shared" si="1"/>
        <v>Feb 2025</v>
      </c>
    </row>
    <row r="13" spans="1:7" x14ac:dyDescent="0.35">
      <c r="A13" s="10">
        <v>45695</v>
      </c>
      <c r="B13" s="11" t="s">
        <v>7</v>
      </c>
      <c r="C13" s="11" t="s">
        <v>20</v>
      </c>
      <c r="D13" s="11">
        <v>10</v>
      </c>
      <c r="E13" s="11">
        <v>45000</v>
      </c>
      <c r="F13" s="12">
        <f t="shared" si="0"/>
        <v>450000</v>
      </c>
      <c r="G13" s="12" t="str">
        <f t="shared" si="1"/>
        <v>Feb 2025</v>
      </c>
    </row>
    <row r="14" spans="1:7" x14ac:dyDescent="0.35">
      <c r="A14" s="10">
        <v>45696</v>
      </c>
      <c r="B14" s="11" t="s">
        <v>10</v>
      </c>
      <c r="C14" s="11" t="s">
        <v>17</v>
      </c>
      <c r="D14" s="11">
        <v>9</v>
      </c>
      <c r="E14" s="11">
        <v>8500</v>
      </c>
      <c r="F14" s="12">
        <f t="shared" si="0"/>
        <v>76500</v>
      </c>
      <c r="G14" s="12" t="str">
        <f t="shared" si="1"/>
        <v>Feb 2025</v>
      </c>
    </row>
    <row r="15" spans="1:7" x14ac:dyDescent="0.35">
      <c r="A15" s="10">
        <v>45698</v>
      </c>
      <c r="B15" s="11" t="s">
        <v>5</v>
      </c>
      <c r="C15" s="11" t="s">
        <v>18</v>
      </c>
      <c r="D15" s="11">
        <v>11</v>
      </c>
      <c r="E15" s="11">
        <v>1800</v>
      </c>
      <c r="F15" s="12">
        <f t="shared" si="0"/>
        <v>19800</v>
      </c>
      <c r="G15" s="12" t="str">
        <f t="shared" si="1"/>
        <v>Feb 2025</v>
      </c>
    </row>
    <row r="16" spans="1:7" x14ac:dyDescent="0.35">
      <c r="A16" s="10">
        <v>45698</v>
      </c>
      <c r="B16" s="11" t="s">
        <v>9</v>
      </c>
      <c r="C16" s="11" t="s">
        <v>19</v>
      </c>
      <c r="D16" s="11">
        <v>7</v>
      </c>
      <c r="E16" s="11">
        <v>500</v>
      </c>
      <c r="F16" s="12">
        <f t="shared" si="0"/>
        <v>3500</v>
      </c>
      <c r="G16" s="12" t="str">
        <f t="shared" si="1"/>
        <v>Feb 2025</v>
      </c>
    </row>
    <row r="17" spans="1:7" x14ac:dyDescent="0.35">
      <c r="A17" s="10">
        <v>45707</v>
      </c>
      <c r="B17" s="11" t="s">
        <v>10</v>
      </c>
      <c r="C17" s="11" t="s">
        <v>20</v>
      </c>
      <c r="D17" s="11">
        <v>6</v>
      </c>
      <c r="E17" s="11">
        <v>8500</v>
      </c>
      <c r="F17" s="12">
        <f t="shared" si="0"/>
        <v>51000</v>
      </c>
      <c r="G17" s="12" t="str">
        <f t="shared" si="1"/>
        <v>Feb 2025</v>
      </c>
    </row>
    <row r="18" spans="1:7" x14ac:dyDescent="0.35">
      <c r="A18" s="10">
        <v>45710</v>
      </c>
      <c r="B18" s="11" t="s">
        <v>7</v>
      </c>
      <c r="C18" s="11" t="s">
        <v>20</v>
      </c>
      <c r="D18" s="11">
        <v>2</v>
      </c>
      <c r="E18" s="11">
        <v>45000</v>
      </c>
      <c r="F18" s="12">
        <f t="shared" si="0"/>
        <v>90000</v>
      </c>
      <c r="G18" s="12" t="str">
        <f t="shared" si="1"/>
        <v>Feb 2025</v>
      </c>
    </row>
    <row r="19" spans="1:7" x14ac:dyDescent="0.35">
      <c r="A19" s="10">
        <v>45710</v>
      </c>
      <c r="B19" s="11" t="s">
        <v>10</v>
      </c>
      <c r="C19" s="11" t="s">
        <v>19</v>
      </c>
      <c r="D19" s="11">
        <v>10</v>
      </c>
      <c r="E19" s="11">
        <v>8500</v>
      </c>
      <c r="F19" s="12">
        <f t="shared" si="0"/>
        <v>85000</v>
      </c>
      <c r="G19" s="12" t="str">
        <f t="shared" si="1"/>
        <v>Feb 2025</v>
      </c>
    </row>
    <row r="20" spans="1:7" x14ac:dyDescent="0.35">
      <c r="A20" s="10">
        <v>45713</v>
      </c>
      <c r="B20" s="11" t="s">
        <v>5</v>
      </c>
      <c r="C20" s="11" t="s">
        <v>20</v>
      </c>
      <c r="D20" s="11">
        <v>6</v>
      </c>
      <c r="E20" s="11">
        <v>1800</v>
      </c>
      <c r="F20" s="12">
        <f t="shared" si="0"/>
        <v>10800</v>
      </c>
      <c r="G20" s="12" t="str">
        <f t="shared" si="1"/>
        <v>Feb 2025</v>
      </c>
    </row>
    <row r="21" spans="1:7" x14ac:dyDescent="0.35">
      <c r="A21" s="10">
        <v>45719</v>
      </c>
      <c r="B21" s="11" t="s">
        <v>5</v>
      </c>
      <c r="C21" s="11" t="s">
        <v>17</v>
      </c>
      <c r="D21" s="11">
        <v>10</v>
      </c>
      <c r="E21" s="11">
        <v>1800</v>
      </c>
      <c r="F21" s="12">
        <f t="shared" si="0"/>
        <v>18000</v>
      </c>
      <c r="G21" s="12" t="str">
        <f t="shared" si="1"/>
        <v>Mar 2025</v>
      </c>
    </row>
    <row r="22" spans="1:7" x14ac:dyDescent="0.35">
      <c r="A22" s="10">
        <v>45723</v>
      </c>
      <c r="B22" s="11" t="s">
        <v>7</v>
      </c>
      <c r="C22" s="11" t="s">
        <v>18</v>
      </c>
      <c r="D22" s="11">
        <v>6</v>
      </c>
      <c r="E22" s="11">
        <v>45000</v>
      </c>
      <c r="F22" s="12">
        <f t="shared" si="0"/>
        <v>270000</v>
      </c>
      <c r="G22" s="12" t="str">
        <f t="shared" si="1"/>
        <v>Mar 2025</v>
      </c>
    </row>
    <row r="23" spans="1:7" x14ac:dyDescent="0.35">
      <c r="A23" s="10">
        <v>45739</v>
      </c>
      <c r="B23" s="11" t="s">
        <v>10</v>
      </c>
      <c r="C23" s="11" t="s">
        <v>20</v>
      </c>
      <c r="D23" s="11">
        <v>6</v>
      </c>
      <c r="E23" s="11">
        <v>8500</v>
      </c>
      <c r="F23" s="12">
        <f t="shared" si="0"/>
        <v>51000</v>
      </c>
      <c r="G23" s="12" t="str">
        <f t="shared" si="1"/>
        <v>Mar 2025</v>
      </c>
    </row>
    <row r="24" spans="1:7" x14ac:dyDescent="0.35">
      <c r="A24" s="10">
        <v>45739</v>
      </c>
      <c r="B24" s="11" t="s">
        <v>10</v>
      </c>
      <c r="C24" s="11" t="s">
        <v>20</v>
      </c>
      <c r="D24" s="11">
        <v>10</v>
      </c>
      <c r="E24" s="11">
        <v>8500</v>
      </c>
      <c r="F24" s="12">
        <f t="shared" si="0"/>
        <v>85000</v>
      </c>
      <c r="G24" s="12" t="str">
        <f t="shared" si="1"/>
        <v>Mar 2025</v>
      </c>
    </row>
    <row r="25" spans="1:7" x14ac:dyDescent="0.35">
      <c r="A25" s="10">
        <v>45739</v>
      </c>
      <c r="B25" s="11" t="s">
        <v>10</v>
      </c>
      <c r="C25" s="11" t="s">
        <v>19</v>
      </c>
      <c r="D25" s="11">
        <v>7</v>
      </c>
      <c r="E25" s="11">
        <v>8500</v>
      </c>
      <c r="F25" s="12">
        <f t="shared" si="0"/>
        <v>59500</v>
      </c>
      <c r="G25" s="12" t="str">
        <f t="shared" si="1"/>
        <v>Mar 2025</v>
      </c>
    </row>
    <row r="26" spans="1:7" x14ac:dyDescent="0.35">
      <c r="A26" s="10">
        <v>45741</v>
      </c>
      <c r="B26" s="11" t="s">
        <v>9</v>
      </c>
      <c r="C26" s="11" t="s">
        <v>20</v>
      </c>
      <c r="D26" s="11">
        <v>1</v>
      </c>
      <c r="E26" s="11">
        <v>500</v>
      </c>
      <c r="F26" s="12">
        <f t="shared" si="0"/>
        <v>500</v>
      </c>
      <c r="G26" s="12" t="str">
        <f t="shared" si="1"/>
        <v>Mar 2025</v>
      </c>
    </row>
    <row r="27" spans="1:7" x14ac:dyDescent="0.35">
      <c r="A27" s="10">
        <v>45742</v>
      </c>
      <c r="B27" s="11" t="s">
        <v>8</v>
      </c>
      <c r="C27" s="11" t="s">
        <v>19</v>
      </c>
      <c r="D27" s="11">
        <v>7</v>
      </c>
      <c r="E27" s="11">
        <v>12000</v>
      </c>
      <c r="F27" s="12">
        <f t="shared" si="0"/>
        <v>84000</v>
      </c>
      <c r="G27" s="12" t="str">
        <f t="shared" si="1"/>
        <v>Mar 2025</v>
      </c>
    </row>
    <row r="28" spans="1:7" x14ac:dyDescent="0.35">
      <c r="A28" s="10">
        <v>45749</v>
      </c>
      <c r="B28" s="11" t="s">
        <v>5</v>
      </c>
      <c r="C28" s="11" t="s">
        <v>19</v>
      </c>
      <c r="D28" s="11">
        <v>11</v>
      </c>
      <c r="E28" s="11">
        <v>1800</v>
      </c>
      <c r="F28" s="12">
        <f t="shared" si="0"/>
        <v>19800</v>
      </c>
      <c r="G28" s="12" t="str">
        <f t="shared" si="1"/>
        <v>Apr 2025</v>
      </c>
    </row>
    <row r="29" spans="1:7" x14ac:dyDescent="0.35">
      <c r="A29" s="10">
        <v>45749</v>
      </c>
      <c r="B29" s="11" t="s">
        <v>10</v>
      </c>
      <c r="C29" s="11" t="s">
        <v>18</v>
      </c>
      <c r="D29" s="11">
        <v>7</v>
      </c>
      <c r="E29" s="11">
        <v>8500</v>
      </c>
      <c r="F29" s="12">
        <f t="shared" si="0"/>
        <v>59500</v>
      </c>
      <c r="G29" s="12" t="str">
        <f t="shared" si="1"/>
        <v>Apr 2025</v>
      </c>
    </row>
    <row r="30" spans="1:7" x14ac:dyDescent="0.35">
      <c r="A30" s="10">
        <v>45755</v>
      </c>
      <c r="B30" s="11" t="s">
        <v>6</v>
      </c>
      <c r="C30" s="11" t="s">
        <v>17</v>
      </c>
      <c r="D30" s="11">
        <v>1</v>
      </c>
      <c r="E30" s="11">
        <v>1200</v>
      </c>
      <c r="F30" s="12">
        <f t="shared" si="0"/>
        <v>1200</v>
      </c>
      <c r="G30" s="12" t="str">
        <f t="shared" si="1"/>
        <v>Apr 2025</v>
      </c>
    </row>
    <row r="31" spans="1:7" x14ac:dyDescent="0.35">
      <c r="A31" s="10">
        <v>45759</v>
      </c>
      <c r="B31" s="11" t="s">
        <v>10</v>
      </c>
      <c r="C31" s="11" t="s">
        <v>20</v>
      </c>
      <c r="D31" s="11">
        <v>4</v>
      </c>
      <c r="E31" s="11">
        <v>8500</v>
      </c>
      <c r="F31" s="12">
        <f t="shared" si="0"/>
        <v>34000</v>
      </c>
      <c r="G31" s="12" t="str">
        <f t="shared" si="1"/>
        <v>Apr 2025</v>
      </c>
    </row>
    <row r="32" spans="1:7" x14ac:dyDescent="0.35">
      <c r="A32" s="10">
        <v>45762</v>
      </c>
      <c r="B32" s="11" t="s">
        <v>10</v>
      </c>
      <c r="C32" s="11" t="s">
        <v>18</v>
      </c>
      <c r="D32" s="11">
        <v>4</v>
      </c>
      <c r="E32" s="11">
        <v>8500</v>
      </c>
      <c r="F32" s="12">
        <f t="shared" si="0"/>
        <v>34000</v>
      </c>
      <c r="G32" s="12" t="str">
        <f t="shared" si="1"/>
        <v>Apr 2025</v>
      </c>
    </row>
    <row r="33" spans="1:7" x14ac:dyDescent="0.35">
      <c r="A33" s="10">
        <v>45766</v>
      </c>
      <c r="B33" s="11" t="s">
        <v>5</v>
      </c>
      <c r="C33" s="11" t="s">
        <v>18</v>
      </c>
      <c r="D33" s="11">
        <v>4</v>
      </c>
      <c r="E33" s="11">
        <v>1800</v>
      </c>
      <c r="F33" s="12">
        <f t="shared" si="0"/>
        <v>7200</v>
      </c>
      <c r="G33" s="12" t="str">
        <f t="shared" si="1"/>
        <v>Apr 2025</v>
      </c>
    </row>
    <row r="34" spans="1:7" x14ac:dyDescent="0.35">
      <c r="A34" s="10">
        <v>45767</v>
      </c>
      <c r="B34" s="11" t="s">
        <v>5</v>
      </c>
      <c r="C34" s="11" t="s">
        <v>18</v>
      </c>
      <c r="D34" s="11">
        <v>3</v>
      </c>
      <c r="E34" s="11">
        <v>1800</v>
      </c>
      <c r="F34" s="12">
        <f t="shared" si="0"/>
        <v>5400</v>
      </c>
      <c r="G34" s="12" t="str">
        <f t="shared" si="1"/>
        <v>Apr 2025</v>
      </c>
    </row>
    <row r="35" spans="1:7" x14ac:dyDescent="0.35">
      <c r="A35" s="10">
        <v>45769</v>
      </c>
      <c r="B35" s="11" t="s">
        <v>9</v>
      </c>
      <c r="C35" s="11" t="s">
        <v>19</v>
      </c>
      <c r="D35" s="11">
        <v>9</v>
      </c>
      <c r="E35" s="11">
        <v>500</v>
      </c>
      <c r="F35" s="12">
        <f t="shared" si="0"/>
        <v>4500</v>
      </c>
      <c r="G35" s="12" t="str">
        <f t="shared" si="1"/>
        <v>Apr 2025</v>
      </c>
    </row>
    <row r="36" spans="1:7" x14ac:dyDescent="0.35">
      <c r="A36" s="10">
        <v>45770</v>
      </c>
      <c r="B36" s="11" t="s">
        <v>9</v>
      </c>
      <c r="C36" s="11" t="s">
        <v>20</v>
      </c>
      <c r="D36" s="11">
        <v>2</v>
      </c>
      <c r="E36" s="11">
        <v>500</v>
      </c>
      <c r="F36" s="12">
        <f t="shared" si="0"/>
        <v>1000</v>
      </c>
      <c r="G36" s="12" t="str">
        <f t="shared" si="1"/>
        <v>Apr 2025</v>
      </c>
    </row>
    <row r="37" spans="1:7" x14ac:dyDescent="0.35">
      <c r="A37" s="10">
        <v>45770</v>
      </c>
      <c r="B37" s="11" t="s">
        <v>7</v>
      </c>
      <c r="C37" s="11" t="s">
        <v>19</v>
      </c>
      <c r="D37" s="11">
        <v>12</v>
      </c>
      <c r="E37" s="11">
        <v>45000</v>
      </c>
      <c r="F37" s="12">
        <f t="shared" si="0"/>
        <v>540000</v>
      </c>
      <c r="G37" s="12" t="str">
        <f t="shared" si="1"/>
        <v>Apr 2025</v>
      </c>
    </row>
    <row r="38" spans="1:7" x14ac:dyDescent="0.35">
      <c r="A38" s="10">
        <v>45772</v>
      </c>
      <c r="B38" s="11" t="s">
        <v>7</v>
      </c>
      <c r="C38" s="11" t="s">
        <v>17</v>
      </c>
      <c r="D38" s="11">
        <v>7</v>
      </c>
      <c r="E38" s="11">
        <v>45000</v>
      </c>
      <c r="F38" s="12">
        <f t="shared" si="0"/>
        <v>315000</v>
      </c>
      <c r="G38" s="12" t="str">
        <f t="shared" si="1"/>
        <v>Apr 2025</v>
      </c>
    </row>
    <row r="39" spans="1:7" x14ac:dyDescent="0.35">
      <c r="A39" s="10">
        <v>45773</v>
      </c>
      <c r="B39" s="11" t="s">
        <v>7</v>
      </c>
      <c r="C39" s="11" t="s">
        <v>18</v>
      </c>
      <c r="D39" s="11">
        <v>1</v>
      </c>
      <c r="E39" s="11">
        <v>45000</v>
      </c>
      <c r="F39" s="12">
        <f t="shared" si="0"/>
        <v>45000</v>
      </c>
      <c r="G39" s="12" t="str">
        <f t="shared" si="1"/>
        <v>Apr 2025</v>
      </c>
    </row>
    <row r="40" spans="1:7" x14ac:dyDescent="0.35">
      <c r="A40" s="10">
        <v>45779</v>
      </c>
      <c r="B40" s="11" t="s">
        <v>6</v>
      </c>
      <c r="C40" s="11" t="s">
        <v>20</v>
      </c>
      <c r="D40" s="11">
        <v>4</v>
      </c>
      <c r="E40" s="11">
        <v>1200</v>
      </c>
      <c r="F40" s="12">
        <f t="shared" si="0"/>
        <v>4800</v>
      </c>
      <c r="G40" s="12" t="str">
        <f t="shared" si="1"/>
        <v>May 2025</v>
      </c>
    </row>
    <row r="41" spans="1:7" x14ac:dyDescent="0.35">
      <c r="A41" s="10">
        <v>45779</v>
      </c>
      <c r="B41" s="11" t="s">
        <v>9</v>
      </c>
      <c r="C41" s="11" t="s">
        <v>20</v>
      </c>
      <c r="D41" s="11">
        <v>8</v>
      </c>
      <c r="E41" s="11">
        <v>500</v>
      </c>
      <c r="F41" s="12">
        <f t="shared" si="0"/>
        <v>4000</v>
      </c>
      <c r="G41" s="12" t="str">
        <f t="shared" si="1"/>
        <v>May 2025</v>
      </c>
    </row>
    <row r="42" spans="1:7" x14ac:dyDescent="0.35">
      <c r="A42" s="10">
        <v>45781</v>
      </c>
      <c r="B42" s="11" t="s">
        <v>5</v>
      </c>
      <c r="C42" s="11" t="s">
        <v>19</v>
      </c>
      <c r="D42" s="11">
        <v>2</v>
      </c>
      <c r="E42" s="11">
        <v>1800</v>
      </c>
      <c r="F42" s="12">
        <f t="shared" si="0"/>
        <v>3600</v>
      </c>
      <c r="G42" s="12" t="str">
        <f t="shared" si="1"/>
        <v>May 2025</v>
      </c>
    </row>
    <row r="43" spans="1:7" x14ac:dyDescent="0.35">
      <c r="A43" s="10">
        <v>45784</v>
      </c>
      <c r="B43" s="11" t="s">
        <v>10</v>
      </c>
      <c r="C43" s="11" t="s">
        <v>18</v>
      </c>
      <c r="D43" s="11">
        <v>12</v>
      </c>
      <c r="E43" s="11">
        <v>8500</v>
      </c>
      <c r="F43" s="12">
        <f t="shared" si="0"/>
        <v>102000</v>
      </c>
      <c r="G43" s="12" t="str">
        <f t="shared" si="1"/>
        <v>May 2025</v>
      </c>
    </row>
    <row r="44" spans="1:7" x14ac:dyDescent="0.35">
      <c r="A44" s="10">
        <v>45785</v>
      </c>
      <c r="B44" s="11" t="s">
        <v>9</v>
      </c>
      <c r="C44" s="11" t="s">
        <v>17</v>
      </c>
      <c r="D44" s="11">
        <v>9</v>
      </c>
      <c r="E44" s="11">
        <v>500</v>
      </c>
      <c r="F44" s="12">
        <f t="shared" si="0"/>
        <v>4500</v>
      </c>
      <c r="G44" s="12" t="str">
        <f t="shared" si="1"/>
        <v>May 2025</v>
      </c>
    </row>
    <row r="45" spans="1:7" x14ac:dyDescent="0.35">
      <c r="A45" s="10">
        <v>45785</v>
      </c>
      <c r="B45" s="11" t="s">
        <v>10</v>
      </c>
      <c r="C45" s="11" t="s">
        <v>19</v>
      </c>
      <c r="D45" s="11">
        <v>6</v>
      </c>
      <c r="E45" s="11">
        <v>8500</v>
      </c>
      <c r="F45" s="12">
        <f t="shared" si="0"/>
        <v>51000</v>
      </c>
      <c r="G45" s="12" t="str">
        <f t="shared" si="1"/>
        <v>May 2025</v>
      </c>
    </row>
    <row r="46" spans="1:7" x14ac:dyDescent="0.35">
      <c r="A46" s="10">
        <v>45791</v>
      </c>
      <c r="B46" s="11" t="s">
        <v>9</v>
      </c>
      <c r="C46" s="11" t="s">
        <v>18</v>
      </c>
      <c r="D46" s="11">
        <v>1</v>
      </c>
      <c r="E46" s="11">
        <v>500</v>
      </c>
      <c r="F46" s="12">
        <f t="shared" si="0"/>
        <v>500</v>
      </c>
      <c r="G46" s="12" t="str">
        <f t="shared" si="1"/>
        <v>May 2025</v>
      </c>
    </row>
    <row r="47" spans="1:7" x14ac:dyDescent="0.35">
      <c r="A47" s="10">
        <v>45792</v>
      </c>
      <c r="B47" s="11" t="s">
        <v>9</v>
      </c>
      <c r="C47" s="11" t="s">
        <v>20</v>
      </c>
      <c r="D47" s="11">
        <v>9</v>
      </c>
      <c r="E47" s="11">
        <v>500</v>
      </c>
      <c r="F47" s="12">
        <f t="shared" si="0"/>
        <v>4500</v>
      </c>
      <c r="G47" s="12" t="str">
        <f t="shared" si="1"/>
        <v>May 2025</v>
      </c>
    </row>
    <row r="48" spans="1:7" x14ac:dyDescent="0.35">
      <c r="A48" s="10">
        <v>45793</v>
      </c>
      <c r="B48" s="11" t="s">
        <v>8</v>
      </c>
      <c r="C48" s="11" t="s">
        <v>17</v>
      </c>
      <c r="D48" s="11">
        <v>11</v>
      </c>
      <c r="E48" s="11">
        <v>12000</v>
      </c>
      <c r="F48" s="12">
        <f t="shared" si="0"/>
        <v>132000</v>
      </c>
      <c r="G48" s="12" t="str">
        <f t="shared" si="1"/>
        <v>May 2025</v>
      </c>
    </row>
    <row r="49" spans="1:7" x14ac:dyDescent="0.35">
      <c r="A49" s="10">
        <v>45793</v>
      </c>
      <c r="B49" s="11" t="s">
        <v>7</v>
      </c>
      <c r="C49" s="11" t="s">
        <v>19</v>
      </c>
      <c r="D49" s="11">
        <v>12</v>
      </c>
      <c r="E49" s="11">
        <v>45000</v>
      </c>
      <c r="F49" s="12">
        <f t="shared" si="0"/>
        <v>540000</v>
      </c>
      <c r="G49" s="12" t="str">
        <f t="shared" si="1"/>
        <v>May 2025</v>
      </c>
    </row>
    <row r="50" spans="1:7" x14ac:dyDescent="0.35">
      <c r="A50" s="10">
        <v>45793</v>
      </c>
      <c r="B50" s="11" t="s">
        <v>8</v>
      </c>
      <c r="C50" s="11" t="s">
        <v>18</v>
      </c>
      <c r="D50" s="11">
        <v>7</v>
      </c>
      <c r="E50" s="11">
        <v>12000</v>
      </c>
      <c r="F50" s="12">
        <f t="shared" si="0"/>
        <v>84000</v>
      </c>
      <c r="G50" s="12" t="str">
        <f t="shared" si="1"/>
        <v>May 2025</v>
      </c>
    </row>
    <row r="51" spans="1:7" x14ac:dyDescent="0.35">
      <c r="A51" s="10">
        <v>45794</v>
      </c>
      <c r="B51" s="11" t="s">
        <v>10</v>
      </c>
      <c r="C51" s="11" t="s">
        <v>19</v>
      </c>
      <c r="D51" s="11">
        <v>10</v>
      </c>
      <c r="E51" s="11">
        <v>8500</v>
      </c>
      <c r="F51" s="12">
        <f t="shared" si="0"/>
        <v>85000</v>
      </c>
      <c r="G51" s="12" t="str">
        <f t="shared" si="1"/>
        <v>May 2025</v>
      </c>
    </row>
    <row r="52" spans="1:7" x14ac:dyDescent="0.35">
      <c r="A52" s="10">
        <v>45798</v>
      </c>
      <c r="B52" s="11" t="s">
        <v>9</v>
      </c>
      <c r="C52" s="11" t="s">
        <v>17</v>
      </c>
      <c r="D52" s="11">
        <v>3</v>
      </c>
      <c r="E52" s="11">
        <v>500</v>
      </c>
      <c r="F52" s="12">
        <f t="shared" si="0"/>
        <v>1500</v>
      </c>
      <c r="G52" s="12" t="str">
        <f t="shared" si="1"/>
        <v>May 2025</v>
      </c>
    </row>
    <row r="53" spans="1:7" x14ac:dyDescent="0.35">
      <c r="A53" s="10">
        <v>45800</v>
      </c>
      <c r="B53" s="11" t="s">
        <v>8</v>
      </c>
      <c r="C53" s="11" t="s">
        <v>18</v>
      </c>
      <c r="D53" s="11">
        <v>3</v>
      </c>
      <c r="E53" s="11">
        <v>12000</v>
      </c>
      <c r="F53" s="12">
        <f t="shared" si="0"/>
        <v>36000</v>
      </c>
      <c r="G53" s="12" t="str">
        <f t="shared" si="1"/>
        <v>May 2025</v>
      </c>
    </row>
    <row r="54" spans="1:7" x14ac:dyDescent="0.35">
      <c r="A54" s="10">
        <v>45800</v>
      </c>
      <c r="B54" s="11" t="s">
        <v>9</v>
      </c>
      <c r="C54" s="11" t="s">
        <v>17</v>
      </c>
      <c r="D54" s="11">
        <v>6</v>
      </c>
      <c r="E54" s="11">
        <v>500</v>
      </c>
      <c r="F54" s="12">
        <f t="shared" si="0"/>
        <v>3000</v>
      </c>
      <c r="G54" s="12" t="str">
        <f t="shared" si="1"/>
        <v>May 2025</v>
      </c>
    </row>
    <row r="55" spans="1:7" x14ac:dyDescent="0.35">
      <c r="A55" s="10">
        <v>45800</v>
      </c>
      <c r="B55" s="11" t="s">
        <v>8</v>
      </c>
      <c r="C55" s="11" t="s">
        <v>17</v>
      </c>
      <c r="D55" s="11">
        <v>2</v>
      </c>
      <c r="E55" s="11">
        <v>12000</v>
      </c>
      <c r="F55" s="12">
        <f t="shared" si="0"/>
        <v>24000</v>
      </c>
      <c r="G55" s="12" t="str">
        <f t="shared" si="1"/>
        <v>May 2025</v>
      </c>
    </row>
    <row r="56" spans="1:7" x14ac:dyDescent="0.35">
      <c r="A56" s="10">
        <v>45803</v>
      </c>
      <c r="B56" s="11" t="s">
        <v>9</v>
      </c>
      <c r="C56" s="11" t="s">
        <v>20</v>
      </c>
      <c r="D56" s="11">
        <v>9</v>
      </c>
      <c r="E56" s="11">
        <v>500</v>
      </c>
      <c r="F56" s="12">
        <f t="shared" si="0"/>
        <v>4500</v>
      </c>
      <c r="G56" s="12" t="str">
        <f t="shared" si="1"/>
        <v>May 2025</v>
      </c>
    </row>
    <row r="57" spans="1:7" x14ac:dyDescent="0.35">
      <c r="A57" s="10">
        <v>45808</v>
      </c>
      <c r="B57" s="11" t="s">
        <v>8</v>
      </c>
      <c r="C57" s="11" t="s">
        <v>17</v>
      </c>
      <c r="D57" s="11">
        <v>8</v>
      </c>
      <c r="E57" s="11">
        <v>12000</v>
      </c>
      <c r="F57" s="12">
        <f t="shared" si="0"/>
        <v>96000</v>
      </c>
      <c r="G57" s="12" t="str">
        <f t="shared" si="1"/>
        <v>May 2025</v>
      </c>
    </row>
    <row r="58" spans="1:7" x14ac:dyDescent="0.35">
      <c r="A58" s="10">
        <v>45810</v>
      </c>
      <c r="B58" s="11" t="s">
        <v>10</v>
      </c>
      <c r="C58" s="11" t="s">
        <v>17</v>
      </c>
      <c r="D58" s="11">
        <v>3</v>
      </c>
      <c r="E58" s="11">
        <v>8500</v>
      </c>
      <c r="F58" s="12">
        <f t="shared" si="0"/>
        <v>25500</v>
      </c>
      <c r="G58" s="12" t="str">
        <f t="shared" si="1"/>
        <v>Jun 2025</v>
      </c>
    </row>
    <row r="59" spans="1:7" x14ac:dyDescent="0.35">
      <c r="A59" s="10">
        <v>45817</v>
      </c>
      <c r="B59" s="11" t="s">
        <v>8</v>
      </c>
      <c r="C59" s="11" t="s">
        <v>18</v>
      </c>
      <c r="D59" s="11">
        <v>8</v>
      </c>
      <c r="E59" s="11">
        <v>12000</v>
      </c>
      <c r="F59" s="12">
        <f t="shared" si="0"/>
        <v>96000</v>
      </c>
      <c r="G59" s="12" t="str">
        <f t="shared" si="1"/>
        <v>Jun 2025</v>
      </c>
    </row>
    <row r="60" spans="1:7" x14ac:dyDescent="0.35">
      <c r="A60" s="10">
        <v>45818</v>
      </c>
      <c r="B60" s="11" t="s">
        <v>7</v>
      </c>
      <c r="C60" s="11" t="s">
        <v>19</v>
      </c>
      <c r="D60" s="11">
        <v>10</v>
      </c>
      <c r="E60" s="11">
        <v>45000</v>
      </c>
      <c r="F60" s="12">
        <f t="shared" si="0"/>
        <v>450000</v>
      </c>
      <c r="G60" s="12" t="str">
        <f t="shared" si="1"/>
        <v>Jun 2025</v>
      </c>
    </row>
    <row r="61" spans="1:7" x14ac:dyDescent="0.35">
      <c r="A61" s="10">
        <v>45818</v>
      </c>
      <c r="B61" s="11" t="s">
        <v>8</v>
      </c>
      <c r="C61" s="11" t="s">
        <v>19</v>
      </c>
      <c r="D61" s="11">
        <v>7</v>
      </c>
      <c r="E61" s="11">
        <v>12000</v>
      </c>
      <c r="F61" s="12">
        <f t="shared" si="0"/>
        <v>84000</v>
      </c>
      <c r="G61" s="12" t="str">
        <f t="shared" si="1"/>
        <v>Jun 2025</v>
      </c>
    </row>
    <row r="62" spans="1:7" x14ac:dyDescent="0.35">
      <c r="A62" s="10">
        <v>45819</v>
      </c>
      <c r="B62" s="11" t="s">
        <v>8</v>
      </c>
      <c r="C62" s="11" t="s">
        <v>18</v>
      </c>
      <c r="D62" s="11">
        <v>2</v>
      </c>
      <c r="E62" s="11">
        <v>12000</v>
      </c>
      <c r="F62" s="12">
        <f t="shared" si="0"/>
        <v>24000</v>
      </c>
      <c r="G62" s="12" t="str">
        <f t="shared" si="1"/>
        <v>Jun 2025</v>
      </c>
    </row>
    <row r="63" spans="1:7" x14ac:dyDescent="0.35">
      <c r="A63" s="10">
        <v>45823</v>
      </c>
      <c r="B63" s="11" t="s">
        <v>8</v>
      </c>
      <c r="C63" s="11" t="s">
        <v>19</v>
      </c>
      <c r="D63" s="11">
        <v>2</v>
      </c>
      <c r="E63" s="11">
        <v>12000</v>
      </c>
      <c r="F63" s="12">
        <f t="shared" si="0"/>
        <v>24000</v>
      </c>
      <c r="G63" s="12" t="str">
        <f t="shared" si="1"/>
        <v>Jun 2025</v>
      </c>
    </row>
    <row r="64" spans="1:7" x14ac:dyDescent="0.35">
      <c r="A64" s="10">
        <v>45824</v>
      </c>
      <c r="B64" s="11" t="s">
        <v>7</v>
      </c>
      <c r="C64" s="11" t="s">
        <v>17</v>
      </c>
      <c r="D64" s="11">
        <v>1</v>
      </c>
      <c r="E64" s="11">
        <v>45000</v>
      </c>
      <c r="F64" s="12">
        <f t="shared" si="0"/>
        <v>45000</v>
      </c>
      <c r="G64" s="12" t="str">
        <f t="shared" si="1"/>
        <v>Jun 2025</v>
      </c>
    </row>
    <row r="65" spans="1:7" x14ac:dyDescent="0.35">
      <c r="A65" s="10">
        <v>45826</v>
      </c>
      <c r="B65" s="11" t="s">
        <v>6</v>
      </c>
      <c r="C65" s="11" t="s">
        <v>19</v>
      </c>
      <c r="D65" s="11">
        <v>5</v>
      </c>
      <c r="E65" s="11">
        <v>1200</v>
      </c>
      <c r="F65" s="12">
        <f t="shared" si="0"/>
        <v>6000</v>
      </c>
      <c r="G65" s="12" t="str">
        <f t="shared" si="1"/>
        <v>Jun 2025</v>
      </c>
    </row>
    <row r="66" spans="1:7" x14ac:dyDescent="0.35">
      <c r="A66" s="10">
        <v>45836</v>
      </c>
      <c r="B66" s="11" t="s">
        <v>7</v>
      </c>
      <c r="C66" s="11" t="s">
        <v>17</v>
      </c>
      <c r="D66" s="11">
        <v>6</v>
      </c>
      <c r="E66" s="11">
        <v>45000</v>
      </c>
      <c r="F66" s="12">
        <f t="shared" si="0"/>
        <v>270000</v>
      </c>
      <c r="G66" s="12" t="str">
        <f t="shared" si="1"/>
        <v>Jun 2025</v>
      </c>
    </row>
    <row r="67" spans="1:7" x14ac:dyDescent="0.35">
      <c r="A67" s="10">
        <v>45837</v>
      </c>
      <c r="B67" s="11" t="s">
        <v>10</v>
      </c>
      <c r="C67" s="11" t="s">
        <v>20</v>
      </c>
      <c r="D67" s="11">
        <v>11</v>
      </c>
      <c r="E67" s="11">
        <v>8500</v>
      </c>
      <c r="F67" s="12">
        <f t="shared" ref="F67:F120" si="2">D67*E67</f>
        <v>93500</v>
      </c>
      <c r="G67" s="12" t="str">
        <f t="shared" ref="G67:G120" si="3">TEXT(A67,"mmm yyyy")</f>
        <v>Jun 2025</v>
      </c>
    </row>
    <row r="68" spans="1:7" x14ac:dyDescent="0.35">
      <c r="A68" s="10">
        <v>45841</v>
      </c>
      <c r="B68" s="11" t="s">
        <v>6</v>
      </c>
      <c r="C68" s="11" t="s">
        <v>18</v>
      </c>
      <c r="D68" s="11">
        <v>1</v>
      </c>
      <c r="E68" s="11">
        <v>1200</v>
      </c>
      <c r="F68" s="12">
        <f t="shared" si="2"/>
        <v>1200</v>
      </c>
      <c r="G68" s="12" t="str">
        <f t="shared" si="3"/>
        <v>Jul 2025</v>
      </c>
    </row>
    <row r="69" spans="1:7" x14ac:dyDescent="0.35">
      <c r="A69" s="10">
        <v>45843</v>
      </c>
      <c r="B69" s="11" t="s">
        <v>6</v>
      </c>
      <c r="C69" s="11" t="s">
        <v>17</v>
      </c>
      <c r="D69" s="11">
        <v>1</v>
      </c>
      <c r="E69" s="11">
        <v>1200</v>
      </c>
      <c r="F69" s="12">
        <f t="shared" si="2"/>
        <v>1200</v>
      </c>
      <c r="G69" s="12" t="str">
        <f t="shared" si="3"/>
        <v>Jul 2025</v>
      </c>
    </row>
    <row r="70" spans="1:7" x14ac:dyDescent="0.35">
      <c r="A70" s="10">
        <v>45847</v>
      </c>
      <c r="B70" s="11" t="s">
        <v>6</v>
      </c>
      <c r="C70" s="11" t="s">
        <v>17</v>
      </c>
      <c r="D70" s="11">
        <v>11</v>
      </c>
      <c r="E70" s="11">
        <v>1200</v>
      </c>
      <c r="F70" s="12">
        <f t="shared" si="2"/>
        <v>13200</v>
      </c>
      <c r="G70" s="12" t="str">
        <f t="shared" si="3"/>
        <v>Jul 2025</v>
      </c>
    </row>
    <row r="71" spans="1:7" x14ac:dyDescent="0.35">
      <c r="A71" s="10">
        <v>45849</v>
      </c>
      <c r="B71" s="11" t="s">
        <v>9</v>
      </c>
      <c r="C71" s="11" t="s">
        <v>19</v>
      </c>
      <c r="D71" s="11">
        <v>10</v>
      </c>
      <c r="E71" s="11">
        <v>500</v>
      </c>
      <c r="F71" s="12">
        <f t="shared" si="2"/>
        <v>5000</v>
      </c>
      <c r="G71" s="12" t="str">
        <f t="shared" si="3"/>
        <v>Jul 2025</v>
      </c>
    </row>
    <row r="72" spans="1:7" x14ac:dyDescent="0.35">
      <c r="A72" s="10">
        <v>45864</v>
      </c>
      <c r="B72" s="11" t="s">
        <v>10</v>
      </c>
      <c r="C72" s="11" t="s">
        <v>18</v>
      </c>
      <c r="D72" s="11">
        <v>2</v>
      </c>
      <c r="E72" s="11">
        <v>8500</v>
      </c>
      <c r="F72" s="12">
        <f t="shared" si="2"/>
        <v>17000</v>
      </c>
      <c r="G72" s="12" t="str">
        <f t="shared" si="3"/>
        <v>Jul 2025</v>
      </c>
    </row>
    <row r="73" spans="1:7" x14ac:dyDescent="0.35">
      <c r="A73" s="10">
        <v>45874</v>
      </c>
      <c r="B73" s="11" t="s">
        <v>8</v>
      </c>
      <c r="C73" s="11" t="s">
        <v>20</v>
      </c>
      <c r="D73" s="11">
        <v>12</v>
      </c>
      <c r="E73" s="11">
        <v>12000</v>
      </c>
      <c r="F73" s="12">
        <f t="shared" si="2"/>
        <v>144000</v>
      </c>
      <c r="G73" s="12" t="str">
        <f t="shared" si="3"/>
        <v>Aug 2025</v>
      </c>
    </row>
    <row r="74" spans="1:7" x14ac:dyDescent="0.35">
      <c r="A74" s="10">
        <v>45874</v>
      </c>
      <c r="B74" s="11" t="s">
        <v>7</v>
      </c>
      <c r="C74" s="11" t="s">
        <v>19</v>
      </c>
      <c r="D74" s="11">
        <v>2</v>
      </c>
      <c r="E74" s="11">
        <v>45000</v>
      </c>
      <c r="F74" s="12">
        <f t="shared" si="2"/>
        <v>90000</v>
      </c>
      <c r="G74" s="12" t="str">
        <f t="shared" si="3"/>
        <v>Aug 2025</v>
      </c>
    </row>
    <row r="75" spans="1:7" x14ac:dyDescent="0.35">
      <c r="A75" s="10">
        <v>45884</v>
      </c>
      <c r="B75" s="11" t="s">
        <v>5</v>
      </c>
      <c r="C75" s="11" t="s">
        <v>19</v>
      </c>
      <c r="D75" s="11">
        <v>1</v>
      </c>
      <c r="E75" s="11">
        <v>1800</v>
      </c>
      <c r="F75" s="12">
        <f t="shared" si="2"/>
        <v>1800</v>
      </c>
      <c r="G75" s="12" t="str">
        <f t="shared" si="3"/>
        <v>Aug 2025</v>
      </c>
    </row>
    <row r="76" spans="1:7" x14ac:dyDescent="0.35">
      <c r="A76" s="10">
        <v>45887</v>
      </c>
      <c r="B76" s="11" t="s">
        <v>5</v>
      </c>
      <c r="C76" s="11" t="s">
        <v>18</v>
      </c>
      <c r="D76" s="11">
        <v>1</v>
      </c>
      <c r="E76" s="11">
        <v>1800</v>
      </c>
      <c r="F76" s="12">
        <f t="shared" si="2"/>
        <v>1800</v>
      </c>
      <c r="G76" s="12" t="str">
        <f t="shared" si="3"/>
        <v>Aug 2025</v>
      </c>
    </row>
    <row r="77" spans="1:7" x14ac:dyDescent="0.35">
      <c r="A77" s="10">
        <v>45887</v>
      </c>
      <c r="B77" s="11" t="s">
        <v>9</v>
      </c>
      <c r="C77" s="11" t="s">
        <v>20</v>
      </c>
      <c r="D77" s="11">
        <v>3</v>
      </c>
      <c r="E77" s="11">
        <v>500</v>
      </c>
      <c r="F77" s="12">
        <f t="shared" si="2"/>
        <v>1500</v>
      </c>
      <c r="G77" s="12" t="str">
        <f t="shared" si="3"/>
        <v>Aug 2025</v>
      </c>
    </row>
    <row r="78" spans="1:7" x14ac:dyDescent="0.35">
      <c r="A78" s="10">
        <v>45892</v>
      </c>
      <c r="B78" s="11" t="s">
        <v>9</v>
      </c>
      <c r="C78" s="11" t="s">
        <v>18</v>
      </c>
      <c r="D78" s="11">
        <v>3</v>
      </c>
      <c r="E78" s="11">
        <v>500</v>
      </c>
      <c r="F78" s="12">
        <f t="shared" si="2"/>
        <v>1500</v>
      </c>
      <c r="G78" s="12" t="str">
        <f t="shared" si="3"/>
        <v>Aug 2025</v>
      </c>
    </row>
    <row r="79" spans="1:7" x14ac:dyDescent="0.35">
      <c r="A79" s="10">
        <v>45893</v>
      </c>
      <c r="B79" s="11" t="s">
        <v>6</v>
      </c>
      <c r="C79" s="11" t="s">
        <v>18</v>
      </c>
      <c r="D79" s="11">
        <v>4</v>
      </c>
      <c r="E79" s="11">
        <v>1200</v>
      </c>
      <c r="F79" s="12">
        <f t="shared" si="2"/>
        <v>4800</v>
      </c>
      <c r="G79" s="12" t="str">
        <f t="shared" si="3"/>
        <v>Aug 2025</v>
      </c>
    </row>
    <row r="80" spans="1:7" x14ac:dyDescent="0.35">
      <c r="A80" s="10">
        <v>45893</v>
      </c>
      <c r="B80" s="11" t="s">
        <v>5</v>
      </c>
      <c r="C80" s="11" t="s">
        <v>19</v>
      </c>
      <c r="D80" s="11">
        <v>7</v>
      </c>
      <c r="E80" s="11">
        <v>1800</v>
      </c>
      <c r="F80" s="12">
        <f t="shared" si="2"/>
        <v>12600</v>
      </c>
      <c r="G80" s="12" t="str">
        <f t="shared" si="3"/>
        <v>Aug 2025</v>
      </c>
    </row>
    <row r="81" spans="1:7" x14ac:dyDescent="0.35">
      <c r="A81" s="10">
        <v>45894</v>
      </c>
      <c r="B81" s="11" t="s">
        <v>8</v>
      </c>
      <c r="C81" s="11" t="s">
        <v>18</v>
      </c>
      <c r="D81" s="11">
        <v>11</v>
      </c>
      <c r="E81" s="11">
        <v>12000</v>
      </c>
      <c r="F81" s="12">
        <f t="shared" si="2"/>
        <v>132000</v>
      </c>
      <c r="G81" s="12" t="str">
        <f t="shared" si="3"/>
        <v>Aug 2025</v>
      </c>
    </row>
    <row r="82" spans="1:7" x14ac:dyDescent="0.35">
      <c r="A82" s="10">
        <v>45897</v>
      </c>
      <c r="B82" s="11" t="s">
        <v>5</v>
      </c>
      <c r="C82" s="11" t="s">
        <v>18</v>
      </c>
      <c r="D82" s="11">
        <v>9</v>
      </c>
      <c r="E82" s="11">
        <v>1800</v>
      </c>
      <c r="F82" s="12">
        <f t="shared" si="2"/>
        <v>16200</v>
      </c>
      <c r="G82" s="12" t="str">
        <f t="shared" si="3"/>
        <v>Aug 2025</v>
      </c>
    </row>
    <row r="83" spans="1:7" x14ac:dyDescent="0.35">
      <c r="A83" s="10">
        <v>45900</v>
      </c>
      <c r="B83" s="11" t="s">
        <v>8</v>
      </c>
      <c r="C83" s="11" t="s">
        <v>17</v>
      </c>
      <c r="D83" s="11">
        <v>2</v>
      </c>
      <c r="E83" s="11">
        <v>12000</v>
      </c>
      <c r="F83" s="12">
        <f t="shared" si="2"/>
        <v>24000</v>
      </c>
      <c r="G83" s="12" t="str">
        <f t="shared" si="3"/>
        <v>Aug 2025</v>
      </c>
    </row>
    <row r="84" spans="1:7" x14ac:dyDescent="0.35">
      <c r="A84" s="10">
        <v>45902</v>
      </c>
      <c r="B84" s="11" t="s">
        <v>5</v>
      </c>
      <c r="C84" s="11" t="s">
        <v>17</v>
      </c>
      <c r="D84" s="11">
        <v>1</v>
      </c>
      <c r="E84" s="11">
        <v>1800</v>
      </c>
      <c r="F84" s="12">
        <f t="shared" si="2"/>
        <v>1800</v>
      </c>
      <c r="G84" s="12" t="str">
        <f t="shared" si="3"/>
        <v>Sep 2025</v>
      </c>
    </row>
    <row r="85" spans="1:7" x14ac:dyDescent="0.35">
      <c r="A85" s="10">
        <v>45904</v>
      </c>
      <c r="B85" s="11" t="s">
        <v>9</v>
      </c>
      <c r="C85" s="11" t="s">
        <v>20</v>
      </c>
      <c r="D85" s="11">
        <v>1</v>
      </c>
      <c r="E85" s="11">
        <v>500</v>
      </c>
      <c r="F85" s="12">
        <f t="shared" si="2"/>
        <v>500</v>
      </c>
      <c r="G85" s="12" t="str">
        <f t="shared" si="3"/>
        <v>Sep 2025</v>
      </c>
    </row>
    <row r="86" spans="1:7" x14ac:dyDescent="0.35">
      <c r="A86" s="10">
        <v>45906</v>
      </c>
      <c r="B86" s="11" t="s">
        <v>7</v>
      </c>
      <c r="C86" s="11" t="s">
        <v>17</v>
      </c>
      <c r="D86" s="11">
        <v>3</v>
      </c>
      <c r="E86" s="11">
        <v>45000</v>
      </c>
      <c r="F86" s="12">
        <f t="shared" si="2"/>
        <v>135000</v>
      </c>
      <c r="G86" s="12" t="str">
        <f t="shared" si="3"/>
        <v>Sep 2025</v>
      </c>
    </row>
    <row r="87" spans="1:7" x14ac:dyDescent="0.35">
      <c r="A87" s="10">
        <v>45908</v>
      </c>
      <c r="B87" s="11" t="s">
        <v>6</v>
      </c>
      <c r="C87" s="11" t="s">
        <v>19</v>
      </c>
      <c r="D87" s="11">
        <v>2</v>
      </c>
      <c r="E87" s="11">
        <v>1200</v>
      </c>
      <c r="F87" s="12">
        <f t="shared" si="2"/>
        <v>2400</v>
      </c>
      <c r="G87" s="12" t="str">
        <f t="shared" si="3"/>
        <v>Sep 2025</v>
      </c>
    </row>
    <row r="88" spans="1:7" x14ac:dyDescent="0.35">
      <c r="A88" s="10">
        <v>45918</v>
      </c>
      <c r="B88" s="11" t="s">
        <v>7</v>
      </c>
      <c r="C88" s="11" t="s">
        <v>17</v>
      </c>
      <c r="D88" s="11">
        <v>2</v>
      </c>
      <c r="E88" s="11">
        <v>45000</v>
      </c>
      <c r="F88" s="12">
        <f t="shared" si="2"/>
        <v>90000</v>
      </c>
      <c r="G88" s="12" t="str">
        <f t="shared" si="3"/>
        <v>Sep 2025</v>
      </c>
    </row>
    <row r="89" spans="1:7" x14ac:dyDescent="0.35">
      <c r="A89" s="10">
        <v>45922</v>
      </c>
      <c r="B89" s="11" t="s">
        <v>8</v>
      </c>
      <c r="C89" s="11" t="s">
        <v>19</v>
      </c>
      <c r="D89" s="11">
        <v>4</v>
      </c>
      <c r="E89" s="11">
        <v>12000</v>
      </c>
      <c r="F89" s="12">
        <f t="shared" si="2"/>
        <v>48000</v>
      </c>
      <c r="G89" s="12" t="str">
        <f t="shared" si="3"/>
        <v>Sep 2025</v>
      </c>
    </row>
    <row r="90" spans="1:7" x14ac:dyDescent="0.35">
      <c r="A90" s="10">
        <v>45928</v>
      </c>
      <c r="B90" s="11" t="s">
        <v>5</v>
      </c>
      <c r="C90" s="11" t="s">
        <v>20</v>
      </c>
      <c r="D90" s="11">
        <v>4</v>
      </c>
      <c r="E90" s="11">
        <v>1800</v>
      </c>
      <c r="F90" s="12">
        <f t="shared" si="2"/>
        <v>7200</v>
      </c>
      <c r="G90" s="12" t="str">
        <f t="shared" si="3"/>
        <v>Sep 2025</v>
      </c>
    </row>
    <row r="91" spans="1:7" x14ac:dyDescent="0.35">
      <c r="A91" s="10">
        <v>45932</v>
      </c>
      <c r="B91" s="11" t="s">
        <v>6</v>
      </c>
      <c r="C91" s="11" t="s">
        <v>19</v>
      </c>
      <c r="D91" s="11">
        <v>2</v>
      </c>
      <c r="E91" s="11">
        <v>1200</v>
      </c>
      <c r="F91" s="12">
        <f t="shared" si="2"/>
        <v>2400</v>
      </c>
      <c r="G91" s="12" t="str">
        <f t="shared" si="3"/>
        <v>Oct 2025</v>
      </c>
    </row>
    <row r="92" spans="1:7" x14ac:dyDescent="0.35">
      <c r="A92" s="10">
        <v>45932</v>
      </c>
      <c r="B92" s="11" t="s">
        <v>6</v>
      </c>
      <c r="C92" s="11" t="s">
        <v>18</v>
      </c>
      <c r="D92" s="11">
        <v>2</v>
      </c>
      <c r="E92" s="11">
        <v>1200</v>
      </c>
      <c r="F92" s="12">
        <f t="shared" si="2"/>
        <v>2400</v>
      </c>
      <c r="G92" s="12" t="str">
        <f t="shared" si="3"/>
        <v>Oct 2025</v>
      </c>
    </row>
    <row r="93" spans="1:7" x14ac:dyDescent="0.35">
      <c r="A93" s="10">
        <v>45934</v>
      </c>
      <c r="B93" s="11" t="s">
        <v>9</v>
      </c>
      <c r="C93" s="11" t="s">
        <v>20</v>
      </c>
      <c r="D93" s="11">
        <v>4</v>
      </c>
      <c r="E93" s="11">
        <v>500</v>
      </c>
      <c r="F93" s="12">
        <f t="shared" si="2"/>
        <v>2000</v>
      </c>
      <c r="G93" s="12" t="str">
        <f t="shared" si="3"/>
        <v>Oct 2025</v>
      </c>
    </row>
    <row r="94" spans="1:7" x14ac:dyDescent="0.35">
      <c r="A94" s="10">
        <v>45934</v>
      </c>
      <c r="B94" s="11" t="s">
        <v>10</v>
      </c>
      <c r="C94" s="11" t="s">
        <v>17</v>
      </c>
      <c r="D94" s="11">
        <v>12</v>
      </c>
      <c r="E94" s="11">
        <v>8500</v>
      </c>
      <c r="F94" s="12">
        <f t="shared" si="2"/>
        <v>102000</v>
      </c>
      <c r="G94" s="12" t="str">
        <f t="shared" si="3"/>
        <v>Oct 2025</v>
      </c>
    </row>
    <row r="95" spans="1:7" x14ac:dyDescent="0.35">
      <c r="A95" s="10">
        <v>45941</v>
      </c>
      <c r="B95" s="11" t="s">
        <v>9</v>
      </c>
      <c r="C95" s="11" t="s">
        <v>18</v>
      </c>
      <c r="D95" s="11">
        <v>5</v>
      </c>
      <c r="E95" s="11">
        <v>500</v>
      </c>
      <c r="F95" s="12">
        <f t="shared" si="2"/>
        <v>2500</v>
      </c>
      <c r="G95" s="12" t="str">
        <f t="shared" si="3"/>
        <v>Oct 2025</v>
      </c>
    </row>
    <row r="96" spans="1:7" x14ac:dyDescent="0.35">
      <c r="A96" s="10">
        <v>45941</v>
      </c>
      <c r="B96" s="11" t="s">
        <v>6</v>
      </c>
      <c r="C96" s="11" t="s">
        <v>19</v>
      </c>
      <c r="D96" s="11">
        <v>3</v>
      </c>
      <c r="E96" s="11">
        <v>1200</v>
      </c>
      <c r="F96" s="12">
        <f t="shared" si="2"/>
        <v>3600</v>
      </c>
      <c r="G96" s="12" t="str">
        <f t="shared" si="3"/>
        <v>Oct 2025</v>
      </c>
    </row>
    <row r="97" spans="1:7" x14ac:dyDescent="0.35">
      <c r="A97" s="10">
        <v>45944</v>
      </c>
      <c r="B97" s="11" t="s">
        <v>8</v>
      </c>
      <c r="C97" s="11" t="s">
        <v>17</v>
      </c>
      <c r="D97" s="11">
        <v>4</v>
      </c>
      <c r="E97" s="11">
        <v>12000</v>
      </c>
      <c r="F97" s="12">
        <f t="shared" si="2"/>
        <v>48000</v>
      </c>
      <c r="G97" s="12" t="str">
        <f t="shared" si="3"/>
        <v>Oct 2025</v>
      </c>
    </row>
    <row r="98" spans="1:7" x14ac:dyDescent="0.35">
      <c r="A98" s="10">
        <v>45946</v>
      </c>
      <c r="B98" s="11" t="s">
        <v>7</v>
      </c>
      <c r="C98" s="11" t="s">
        <v>19</v>
      </c>
      <c r="D98" s="11">
        <v>9</v>
      </c>
      <c r="E98" s="11">
        <v>45000</v>
      </c>
      <c r="F98" s="12">
        <f t="shared" si="2"/>
        <v>405000</v>
      </c>
      <c r="G98" s="12" t="str">
        <f t="shared" si="3"/>
        <v>Oct 2025</v>
      </c>
    </row>
    <row r="99" spans="1:7" x14ac:dyDescent="0.35">
      <c r="A99" s="10">
        <v>45953</v>
      </c>
      <c r="B99" s="11" t="s">
        <v>9</v>
      </c>
      <c r="C99" s="11" t="s">
        <v>18</v>
      </c>
      <c r="D99" s="11">
        <v>1</v>
      </c>
      <c r="E99" s="11">
        <v>500</v>
      </c>
      <c r="F99" s="12">
        <f t="shared" si="2"/>
        <v>500</v>
      </c>
      <c r="G99" s="12" t="str">
        <f t="shared" si="3"/>
        <v>Oct 2025</v>
      </c>
    </row>
    <row r="100" spans="1:7" x14ac:dyDescent="0.35">
      <c r="A100" s="10">
        <v>45954</v>
      </c>
      <c r="B100" s="11" t="s">
        <v>10</v>
      </c>
      <c r="C100" s="11" t="s">
        <v>19</v>
      </c>
      <c r="D100" s="11">
        <v>12</v>
      </c>
      <c r="E100" s="11">
        <v>8500</v>
      </c>
      <c r="F100" s="12">
        <f t="shared" si="2"/>
        <v>102000</v>
      </c>
      <c r="G100" s="12" t="str">
        <f t="shared" si="3"/>
        <v>Oct 2025</v>
      </c>
    </row>
    <row r="101" spans="1:7" x14ac:dyDescent="0.35">
      <c r="A101" s="10">
        <v>45957</v>
      </c>
      <c r="B101" s="11" t="s">
        <v>8</v>
      </c>
      <c r="C101" s="11" t="s">
        <v>20</v>
      </c>
      <c r="D101" s="11">
        <v>6</v>
      </c>
      <c r="E101" s="11">
        <v>12000</v>
      </c>
      <c r="F101" s="12">
        <f t="shared" si="2"/>
        <v>72000</v>
      </c>
      <c r="G101" s="12" t="str">
        <f t="shared" si="3"/>
        <v>Oct 2025</v>
      </c>
    </row>
    <row r="102" spans="1:7" x14ac:dyDescent="0.35">
      <c r="A102" s="10">
        <v>45959</v>
      </c>
      <c r="B102" s="11" t="s">
        <v>5</v>
      </c>
      <c r="C102" s="11" t="s">
        <v>17</v>
      </c>
      <c r="D102" s="11">
        <v>10</v>
      </c>
      <c r="E102" s="11">
        <v>1800</v>
      </c>
      <c r="F102" s="12">
        <f t="shared" si="2"/>
        <v>18000</v>
      </c>
      <c r="G102" s="12" t="str">
        <f t="shared" si="3"/>
        <v>Oct 2025</v>
      </c>
    </row>
    <row r="103" spans="1:7" x14ac:dyDescent="0.35">
      <c r="A103" s="10">
        <v>45962</v>
      </c>
      <c r="B103" s="11" t="s">
        <v>7</v>
      </c>
      <c r="C103" s="11" t="s">
        <v>19</v>
      </c>
      <c r="D103" s="11">
        <v>7</v>
      </c>
      <c r="E103" s="11">
        <v>45000</v>
      </c>
      <c r="F103" s="12">
        <f t="shared" si="2"/>
        <v>315000</v>
      </c>
      <c r="G103" s="12" t="str">
        <f t="shared" si="3"/>
        <v>Nov 2025</v>
      </c>
    </row>
    <row r="104" spans="1:7" x14ac:dyDescent="0.35">
      <c r="A104" s="10">
        <v>45962</v>
      </c>
      <c r="B104" s="11" t="s">
        <v>7</v>
      </c>
      <c r="C104" s="11" t="s">
        <v>17</v>
      </c>
      <c r="D104" s="11">
        <v>7</v>
      </c>
      <c r="E104" s="11">
        <v>45000</v>
      </c>
      <c r="F104" s="12">
        <f t="shared" si="2"/>
        <v>315000</v>
      </c>
      <c r="G104" s="12" t="str">
        <f t="shared" si="3"/>
        <v>Nov 2025</v>
      </c>
    </row>
    <row r="105" spans="1:7" x14ac:dyDescent="0.35">
      <c r="A105" s="10">
        <v>45967</v>
      </c>
      <c r="B105" s="11" t="s">
        <v>9</v>
      </c>
      <c r="C105" s="11" t="s">
        <v>18</v>
      </c>
      <c r="D105" s="11">
        <v>4</v>
      </c>
      <c r="E105" s="11">
        <v>500</v>
      </c>
      <c r="F105" s="12">
        <f t="shared" si="2"/>
        <v>2000</v>
      </c>
      <c r="G105" s="12" t="str">
        <f t="shared" si="3"/>
        <v>Nov 2025</v>
      </c>
    </row>
    <row r="106" spans="1:7" x14ac:dyDescent="0.35">
      <c r="A106" s="10">
        <v>45974</v>
      </c>
      <c r="B106" s="11" t="s">
        <v>6</v>
      </c>
      <c r="C106" s="11" t="s">
        <v>17</v>
      </c>
      <c r="D106" s="11">
        <v>12</v>
      </c>
      <c r="E106" s="11">
        <v>1200</v>
      </c>
      <c r="F106" s="12">
        <f t="shared" si="2"/>
        <v>14400</v>
      </c>
      <c r="G106" s="12" t="str">
        <f t="shared" si="3"/>
        <v>Nov 2025</v>
      </c>
    </row>
    <row r="107" spans="1:7" x14ac:dyDescent="0.35">
      <c r="A107" s="10">
        <v>45981</v>
      </c>
      <c r="B107" s="11" t="s">
        <v>7</v>
      </c>
      <c r="C107" s="11" t="s">
        <v>17</v>
      </c>
      <c r="D107" s="11">
        <v>2</v>
      </c>
      <c r="E107" s="11">
        <v>45000</v>
      </c>
      <c r="F107" s="12">
        <f t="shared" si="2"/>
        <v>90000</v>
      </c>
      <c r="G107" s="12" t="str">
        <f t="shared" si="3"/>
        <v>Nov 2025</v>
      </c>
    </row>
    <row r="108" spans="1:7" x14ac:dyDescent="0.35">
      <c r="A108" s="10">
        <v>45982</v>
      </c>
      <c r="B108" s="11" t="s">
        <v>8</v>
      </c>
      <c r="C108" s="11" t="s">
        <v>18</v>
      </c>
      <c r="D108" s="11">
        <v>1</v>
      </c>
      <c r="E108" s="11">
        <v>12000</v>
      </c>
      <c r="F108" s="12">
        <f t="shared" si="2"/>
        <v>12000</v>
      </c>
      <c r="G108" s="12" t="str">
        <f t="shared" si="3"/>
        <v>Nov 2025</v>
      </c>
    </row>
    <row r="109" spans="1:7" x14ac:dyDescent="0.35">
      <c r="A109" s="10">
        <v>45983</v>
      </c>
      <c r="B109" s="11" t="s">
        <v>9</v>
      </c>
      <c r="C109" s="11" t="s">
        <v>17</v>
      </c>
      <c r="D109" s="11">
        <v>3</v>
      </c>
      <c r="E109" s="11">
        <v>500</v>
      </c>
      <c r="F109" s="12">
        <f t="shared" si="2"/>
        <v>1500</v>
      </c>
      <c r="G109" s="12" t="str">
        <f t="shared" si="3"/>
        <v>Nov 2025</v>
      </c>
    </row>
    <row r="110" spans="1:7" x14ac:dyDescent="0.35">
      <c r="A110" s="10">
        <v>45985</v>
      </c>
      <c r="B110" s="11" t="s">
        <v>7</v>
      </c>
      <c r="C110" s="11" t="s">
        <v>19</v>
      </c>
      <c r="D110" s="11">
        <v>12</v>
      </c>
      <c r="E110" s="11">
        <v>45000</v>
      </c>
      <c r="F110" s="12">
        <f t="shared" si="2"/>
        <v>540000</v>
      </c>
      <c r="G110" s="12" t="str">
        <f t="shared" si="3"/>
        <v>Nov 2025</v>
      </c>
    </row>
    <row r="111" spans="1:7" x14ac:dyDescent="0.35">
      <c r="A111" s="10">
        <v>45988</v>
      </c>
      <c r="B111" s="11" t="s">
        <v>6</v>
      </c>
      <c r="C111" s="11" t="s">
        <v>20</v>
      </c>
      <c r="D111" s="11">
        <v>6</v>
      </c>
      <c r="E111" s="11">
        <v>1200</v>
      </c>
      <c r="F111" s="12">
        <f t="shared" si="2"/>
        <v>7200</v>
      </c>
      <c r="G111" s="12" t="str">
        <f t="shared" si="3"/>
        <v>Nov 2025</v>
      </c>
    </row>
    <row r="112" spans="1:7" x14ac:dyDescent="0.35">
      <c r="A112" s="10">
        <v>45991</v>
      </c>
      <c r="B112" s="11" t="s">
        <v>5</v>
      </c>
      <c r="C112" s="11" t="s">
        <v>19</v>
      </c>
      <c r="D112" s="11">
        <v>2</v>
      </c>
      <c r="E112" s="11">
        <v>1800</v>
      </c>
      <c r="F112" s="12">
        <f t="shared" si="2"/>
        <v>3600</v>
      </c>
      <c r="G112" s="12" t="str">
        <f t="shared" si="3"/>
        <v>Nov 2025</v>
      </c>
    </row>
    <row r="113" spans="1:7" x14ac:dyDescent="0.35">
      <c r="A113" s="10">
        <v>45993</v>
      </c>
      <c r="B113" s="11" t="s">
        <v>8</v>
      </c>
      <c r="C113" s="11" t="s">
        <v>20</v>
      </c>
      <c r="D113" s="11">
        <v>11</v>
      </c>
      <c r="E113" s="11">
        <v>12000</v>
      </c>
      <c r="F113" s="12">
        <f t="shared" si="2"/>
        <v>132000</v>
      </c>
      <c r="G113" s="12" t="str">
        <f t="shared" si="3"/>
        <v>Dec 2025</v>
      </c>
    </row>
    <row r="114" spans="1:7" x14ac:dyDescent="0.35">
      <c r="A114" s="10">
        <v>45994</v>
      </c>
      <c r="B114" s="11" t="s">
        <v>5</v>
      </c>
      <c r="C114" s="11" t="s">
        <v>18</v>
      </c>
      <c r="D114" s="11">
        <v>5</v>
      </c>
      <c r="E114" s="11">
        <v>1800</v>
      </c>
      <c r="F114" s="12">
        <f t="shared" si="2"/>
        <v>9000</v>
      </c>
      <c r="G114" s="12" t="str">
        <f t="shared" si="3"/>
        <v>Dec 2025</v>
      </c>
    </row>
    <row r="115" spans="1:7" x14ac:dyDescent="0.35">
      <c r="A115" s="10">
        <v>45995</v>
      </c>
      <c r="B115" s="11" t="s">
        <v>8</v>
      </c>
      <c r="C115" s="11" t="s">
        <v>17</v>
      </c>
      <c r="D115" s="11">
        <v>5</v>
      </c>
      <c r="E115" s="11">
        <v>12000</v>
      </c>
      <c r="F115" s="12">
        <f t="shared" si="2"/>
        <v>60000</v>
      </c>
      <c r="G115" s="12" t="str">
        <f t="shared" si="3"/>
        <v>Dec 2025</v>
      </c>
    </row>
    <row r="116" spans="1:7" x14ac:dyDescent="0.35">
      <c r="A116" s="10">
        <v>46000</v>
      </c>
      <c r="B116" s="11" t="s">
        <v>10</v>
      </c>
      <c r="C116" s="11" t="s">
        <v>17</v>
      </c>
      <c r="D116" s="11">
        <v>5</v>
      </c>
      <c r="E116" s="11">
        <v>8500</v>
      </c>
      <c r="F116" s="12">
        <f t="shared" si="2"/>
        <v>42500</v>
      </c>
      <c r="G116" s="12" t="str">
        <f t="shared" si="3"/>
        <v>Dec 2025</v>
      </c>
    </row>
    <row r="117" spans="1:7" x14ac:dyDescent="0.35">
      <c r="A117" s="10">
        <v>46009</v>
      </c>
      <c r="B117" s="11" t="s">
        <v>10</v>
      </c>
      <c r="C117" s="11" t="s">
        <v>18</v>
      </c>
      <c r="D117" s="11">
        <v>9</v>
      </c>
      <c r="E117" s="11">
        <v>8500</v>
      </c>
      <c r="F117" s="12">
        <f t="shared" si="2"/>
        <v>76500</v>
      </c>
      <c r="G117" s="12" t="str">
        <f t="shared" si="3"/>
        <v>Dec 2025</v>
      </c>
    </row>
    <row r="118" spans="1:7" x14ac:dyDescent="0.35">
      <c r="A118" s="10">
        <v>46010</v>
      </c>
      <c r="B118" s="11" t="s">
        <v>5</v>
      </c>
      <c r="C118" s="11" t="s">
        <v>17</v>
      </c>
      <c r="D118" s="11">
        <v>11</v>
      </c>
      <c r="E118" s="11">
        <v>1800</v>
      </c>
      <c r="F118" s="12">
        <f t="shared" si="2"/>
        <v>19800</v>
      </c>
      <c r="G118" s="12" t="str">
        <f t="shared" si="3"/>
        <v>Dec 2025</v>
      </c>
    </row>
    <row r="119" spans="1:7" x14ac:dyDescent="0.35">
      <c r="A119" s="10">
        <v>46014</v>
      </c>
      <c r="B119" s="11" t="s">
        <v>10</v>
      </c>
      <c r="C119" s="11" t="s">
        <v>20</v>
      </c>
      <c r="D119" s="11">
        <v>3</v>
      </c>
      <c r="E119" s="11">
        <v>8500</v>
      </c>
      <c r="F119" s="12">
        <f t="shared" si="2"/>
        <v>25500</v>
      </c>
      <c r="G119" s="12" t="str">
        <f t="shared" si="3"/>
        <v>Dec 2025</v>
      </c>
    </row>
    <row r="120" spans="1:7" x14ac:dyDescent="0.35">
      <c r="A120" s="13">
        <v>46018</v>
      </c>
      <c r="B120" s="14" t="s">
        <v>6</v>
      </c>
      <c r="C120" s="14" t="s">
        <v>19</v>
      </c>
      <c r="D120" s="14">
        <v>11</v>
      </c>
      <c r="E120" s="14">
        <v>1200</v>
      </c>
      <c r="F120" s="15">
        <f t="shared" si="2"/>
        <v>13200</v>
      </c>
      <c r="G120" s="15" t="str">
        <f t="shared" si="3"/>
        <v>Dec 2025</v>
      </c>
    </row>
    <row r="121" spans="1:7" x14ac:dyDescent="0.35">
      <c r="A1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K17" sqref="K17"/>
    </sheetView>
  </sheetViews>
  <sheetFormatPr defaultRowHeight="14.5" x14ac:dyDescent="0.35"/>
  <cols>
    <col min="1" max="1" width="13.54296875" customWidth="1"/>
    <col min="2" max="2" width="15.08984375" customWidth="1"/>
  </cols>
  <sheetData>
    <row r="1" spans="1:2" x14ac:dyDescent="0.35">
      <c r="A1" s="4" t="s">
        <v>12</v>
      </c>
      <c r="B1" t="s">
        <v>4</v>
      </c>
    </row>
    <row r="2" spans="1:2" x14ac:dyDescent="0.35">
      <c r="A2" s="5" t="s">
        <v>18</v>
      </c>
      <c r="B2" s="3">
        <v>1139300</v>
      </c>
    </row>
    <row r="3" spans="1:2" x14ac:dyDescent="0.35">
      <c r="A3" s="5" t="s">
        <v>19</v>
      </c>
      <c r="B3" s="3">
        <v>3697300</v>
      </c>
    </row>
    <row r="4" spans="1:2" x14ac:dyDescent="0.35">
      <c r="A4" s="5" t="s">
        <v>17</v>
      </c>
      <c r="B4" s="3">
        <v>2791400</v>
      </c>
    </row>
    <row r="5" spans="1:2" x14ac:dyDescent="0.35">
      <c r="A5" s="5" t="s">
        <v>20</v>
      </c>
      <c r="B5" s="3">
        <v>1396500</v>
      </c>
    </row>
    <row r="6" spans="1:2" x14ac:dyDescent="0.35">
      <c r="A6" s="5" t="s">
        <v>2</v>
      </c>
      <c r="B6" s="3">
        <v>9024500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zoomScale="90" zoomScaleNormal="90" workbookViewId="0">
      <selection activeCell="Q10" sqref="Q10"/>
    </sheetView>
  </sheetViews>
  <sheetFormatPr defaultRowHeight="14.5" x14ac:dyDescent="0.35"/>
  <cols>
    <col min="1" max="1" width="15.453125" customWidth="1"/>
    <col min="2" max="2" width="14.90625" customWidth="1"/>
  </cols>
  <sheetData>
    <row r="2" spans="1:2" x14ac:dyDescent="0.35">
      <c r="A2" s="4" t="s">
        <v>22</v>
      </c>
      <c r="B2" t="s">
        <v>21</v>
      </c>
    </row>
    <row r="3" spans="1:2" x14ac:dyDescent="0.35">
      <c r="A3" s="5" t="s">
        <v>5</v>
      </c>
      <c r="B3" s="3">
        <v>98</v>
      </c>
    </row>
    <row r="4" spans="1:2" x14ac:dyDescent="0.35">
      <c r="A4" s="5" t="s">
        <v>6</v>
      </c>
      <c r="B4" s="3">
        <v>103</v>
      </c>
    </row>
    <row r="5" spans="1:2" x14ac:dyDescent="0.35">
      <c r="A5" s="5" t="s">
        <v>7</v>
      </c>
      <c r="B5" s="3">
        <v>127</v>
      </c>
    </row>
    <row r="6" spans="1:2" x14ac:dyDescent="0.35">
      <c r="A6" s="5" t="s">
        <v>8</v>
      </c>
      <c r="B6" s="3">
        <v>127</v>
      </c>
    </row>
    <row r="7" spans="1:2" x14ac:dyDescent="0.35">
      <c r="A7" s="5" t="s">
        <v>9</v>
      </c>
      <c r="B7" s="3">
        <v>98</v>
      </c>
    </row>
    <row r="8" spans="1:2" x14ac:dyDescent="0.35">
      <c r="A8" s="5" t="s">
        <v>10</v>
      </c>
      <c r="B8" s="3">
        <v>169</v>
      </c>
    </row>
    <row r="9" spans="1:2" x14ac:dyDescent="0.35">
      <c r="A9" s="5" t="s">
        <v>2</v>
      </c>
      <c r="B9" s="3">
        <v>722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15"/>
  <sheetViews>
    <sheetView zoomScale="90" zoomScaleNormal="90" workbookViewId="0">
      <selection activeCell="A12" sqref="A12:C12"/>
    </sheetView>
  </sheetViews>
  <sheetFormatPr defaultRowHeight="14.5" x14ac:dyDescent="0.35"/>
  <cols>
    <col min="1" max="1" width="12.7265625" customWidth="1"/>
    <col min="2" max="2" width="27.6328125" customWidth="1"/>
    <col min="3" max="3" width="117.08984375" customWidth="1"/>
    <col min="4" max="4" width="2.7265625" customWidth="1"/>
    <col min="5" max="5" width="4.81640625" customWidth="1"/>
    <col min="6" max="6" width="3.6328125" customWidth="1"/>
  </cols>
  <sheetData>
    <row r="1" spans="1:32" ht="21" x14ac:dyDescent="0.5">
      <c r="A1" s="34" t="s">
        <v>31</v>
      </c>
      <c r="B1" s="34"/>
      <c r="C1" s="34"/>
      <c r="D1" s="34"/>
      <c r="E1" s="34"/>
      <c r="F1" s="3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35">
      <c r="A2" s="18"/>
      <c r="B2" s="18"/>
      <c r="C2" s="18"/>
      <c r="D2" s="18"/>
      <c r="E2" s="18"/>
      <c r="F2" s="18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24.5" customHeight="1" x14ac:dyDescent="0.7">
      <c r="A3" s="21" t="s">
        <v>32</v>
      </c>
      <c r="B3" s="22" t="s">
        <v>33</v>
      </c>
      <c r="C3" s="23" t="s">
        <v>34</v>
      </c>
      <c r="D3" s="18"/>
      <c r="E3" s="18"/>
      <c r="F3" s="1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33.5" customHeight="1" x14ac:dyDescent="0.35">
      <c r="A4" s="24">
        <v>1</v>
      </c>
      <c r="B4" s="25" t="s">
        <v>35</v>
      </c>
      <c r="C4" s="26" t="s">
        <v>36</v>
      </c>
      <c r="D4" s="18"/>
      <c r="E4" s="18"/>
      <c r="F4" s="1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34.5" customHeight="1" x14ac:dyDescent="0.35">
      <c r="A5" s="27">
        <v>2</v>
      </c>
      <c r="B5" s="28" t="s">
        <v>37</v>
      </c>
      <c r="C5" s="29" t="s">
        <v>38</v>
      </c>
      <c r="D5" s="18"/>
      <c r="E5" s="18"/>
      <c r="F5" s="18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32.5" customHeight="1" x14ac:dyDescent="0.35">
      <c r="A6" s="24">
        <v>3</v>
      </c>
      <c r="B6" s="25" t="s">
        <v>39</v>
      </c>
      <c r="C6" s="26" t="s">
        <v>40</v>
      </c>
      <c r="D6" s="18"/>
      <c r="E6" s="18"/>
      <c r="F6" s="1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33.5" customHeight="1" x14ac:dyDescent="0.35">
      <c r="A7" s="27">
        <v>4</v>
      </c>
      <c r="B7" s="28" t="s">
        <v>41</v>
      </c>
      <c r="C7" s="29" t="s">
        <v>42</v>
      </c>
      <c r="D7" s="18"/>
      <c r="E7" s="18"/>
      <c r="F7" s="1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35.5" customHeight="1" x14ac:dyDescent="0.35">
      <c r="A8" s="24">
        <v>5</v>
      </c>
      <c r="B8" s="25" t="s">
        <v>43</v>
      </c>
      <c r="C8" s="26" t="s">
        <v>44</v>
      </c>
      <c r="D8" s="18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30.5" customHeight="1" x14ac:dyDescent="0.35">
      <c r="A9" s="30">
        <v>6</v>
      </c>
      <c r="B9" s="31" t="s">
        <v>45</v>
      </c>
      <c r="C9" s="32" t="s">
        <v>46</v>
      </c>
      <c r="D9" s="18"/>
      <c r="E9" s="18"/>
      <c r="F9" s="1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x14ac:dyDescent="0.35">
      <c r="A10" s="18"/>
      <c r="B10" s="18"/>
      <c r="C10" s="18"/>
      <c r="D10" s="18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x14ac:dyDescent="0.35">
      <c r="A11" s="18"/>
      <c r="B11" s="18"/>
      <c r="C11" s="18"/>
      <c r="D11" s="18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22.5" customHeight="1" x14ac:dyDescent="0.55000000000000004">
      <c r="A12" s="35" t="s">
        <v>47</v>
      </c>
      <c r="B12" s="35"/>
      <c r="C12" s="35"/>
      <c r="D12" s="18"/>
      <c r="E12" s="18"/>
      <c r="F12" s="18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29" customHeight="1" x14ac:dyDescent="0.35">
      <c r="A13" s="33" t="s">
        <v>48</v>
      </c>
      <c r="B13" s="33"/>
      <c r="C13" s="33"/>
      <c r="D13" s="18"/>
      <c r="E13" s="18"/>
      <c r="F13" s="1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29" customHeight="1" x14ac:dyDescent="0.35">
      <c r="A14" s="33" t="s">
        <v>49</v>
      </c>
      <c r="B14" s="33"/>
      <c r="C14" s="33"/>
      <c r="D14" s="18"/>
      <c r="E14" s="18"/>
      <c r="F14" s="1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43.5" customHeight="1" x14ac:dyDescent="0.35">
      <c r="A15" s="33" t="s">
        <v>50</v>
      </c>
      <c r="B15" s="33"/>
      <c r="C15" s="33"/>
      <c r="D15" s="18"/>
      <c r="E15" s="18"/>
      <c r="F15" s="1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58" customHeight="1" x14ac:dyDescent="0.35">
      <c r="A16" s="33" t="s">
        <v>52</v>
      </c>
      <c r="B16" s="33"/>
      <c r="C16" s="33"/>
      <c r="D16" s="18"/>
      <c r="E16" s="18"/>
      <c r="F16" s="1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58" customHeight="1" x14ac:dyDescent="0.35">
      <c r="A17" s="33" t="s">
        <v>51</v>
      </c>
      <c r="B17" s="33"/>
      <c r="C17" s="33"/>
      <c r="D17" s="18"/>
      <c r="E17" s="18"/>
      <c r="F17" s="18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x14ac:dyDescent="0.35">
      <c r="A18" s="18"/>
      <c r="B18" s="18"/>
      <c r="C18" s="18"/>
      <c r="D18" s="18"/>
      <c r="E18" s="18"/>
      <c r="F18" s="1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1:32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2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2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2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2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 spans="1:32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 spans="1:32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32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2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2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:32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:32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:32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1:32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:32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:32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1:32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1:32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:32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1:32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1:32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spans="1:32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spans="1:32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spans="1:32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spans="1:32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spans="1:32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spans="1:32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 spans="1:32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spans="1:32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spans="1:32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 spans="1:32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 spans="1:32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 spans="1:32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 spans="1:32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 spans="1:32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spans="1:32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spans="1:32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spans="1:32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 spans="1:32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spans="1:32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 spans="1:32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 spans="1:32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spans="1:32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spans="1:32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spans="1:32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 spans="1:32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 spans="1:32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 spans="1:32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 spans="1:32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 spans="1:32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1:32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 spans="1:32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 spans="1:32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 spans="1:32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spans="1:32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spans="1:32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spans="1:32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spans="1:32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 spans="1:32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 spans="1:32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 spans="1:32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 spans="1:32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 spans="1:32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 spans="1:32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 spans="1:32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 spans="1:32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32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32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32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spans="1:32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32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32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32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 spans="1:32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spans="1:32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spans="1:32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spans="1:32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spans="1:32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spans="1:32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spans="1:32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 spans="1:32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 spans="1:32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 spans="1:32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spans="1:32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 spans="1:32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spans="1:32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spans="1:32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spans="1:32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spans="1:32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spans="1:32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spans="1:32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spans="1:32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spans="1:32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spans="1:32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spans="1:32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spans="1:32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spans="1:32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spans="1:32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spans="1:32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spans="1:32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spans="1:32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spans="1:32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spans="1:32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spans="1:32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spans="1:32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spans="1:32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spans="1:32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spans="1:32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spans="1:32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spans="1:32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spans="1:32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spans="1:32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spans="1:32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spans="1:32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spans="1:32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spans="1:32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spans="1:32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spans="1:32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spans="1:32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spans="1:32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spans="1:32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spans="1:32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spans="1:32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spans="1:32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spans="1:32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spans="1:32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spans="1:32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spans="1:32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spans="1:32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spans="1:32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spans="1:32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spans="1:32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spans="1:32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spans="1:32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spans="1:32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spans="1:32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spans="1:32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spans="1:32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spans="1:32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spans="1:32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spans="1:32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spans="1:32" x14ac:dyDescent="0.3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spans="1:32" x14ac:dyDescent="0.3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spans="1:32" x14ac:dyDescent="0.3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spans="1:32" x14ac:dyDescent="0.3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spans="1:32" x14ac:dyDescent="0.3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spans="1:32" x14ac:dyDescent="0.3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spans="1:32" x14ac:dyDescent="0.3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spans="1:32" x14ac:dyDescent="0.3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spans="1:32" x14ac:dyDescent="0.3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spans="1:32" x14ac:dyDescent="0.3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spans="1:32" x14ac:dyDescent="0.3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spans="1:32" x14ac:dyDescent="0.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spans="1:32" x14ac:dyDescent="0.3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spans="1:32" x14ac:dyDescent="0.3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 x14ac:dyDescent="0.3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 x14ac:dyDescent="0.3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 x14ac:dyDescent="0.3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spans="1:32" x14ac:dyDescent="0.3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 x14ac:dyDescent="0.3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spans="1:32" x14ac:dyDescent="0.3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spans="1:32" x14ac:dyDescent="0.3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spans="1:32" x14ac:dyDescent="0.3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 x14ac:dyDescent="0.3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spans="1:32" x14ac:dyDescent="0.3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spans="1:32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spans="1:32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spans="1:32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spans="1:32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spans="1:32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spans="1:32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spans="1:32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spans="1:32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spans="1:32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spans="1:32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spans="1:32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spans="1:32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spans="1:32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spans="1:32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spans="1:32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spans="1:32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spans="1:32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spans="1:32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spans="1:32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spans="1:32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spans="1:32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spans="1:32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spans="1:32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spans="1:32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spans="1:32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spans="1:32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spans="1:32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spans="1:32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spans="1:32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spans="1:32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spans="1:32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spans="1:32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spans="1:32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spans="1:32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spans="1:32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spans="1:32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spans="1:32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spans="1:32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spans="1:32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spans="1:32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spans="1:32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spans="1:32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spans="1:32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spans="1:32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spans="1:32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 spans="1:32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 spans="1:32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 spans="1:32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 spans="1:32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 spans="1:32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spans="1:32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spans="1:32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 spans="1:32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 spans="1:32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 spans="1:32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 spans="1:32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 spans="1:32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 spans="1:32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 spans="1:32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 spans="1:32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 spans="1:32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 spans="1:32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 spans="1:32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 spans="1:32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 spans="1:32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 spans="1:32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 spans="1:32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 spans="1:32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 spans="1:32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 spans="1:32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 spans="1:32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 spans="1:32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 spans="1:32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spans="1:32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spans="1:32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 spans="1:32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 spans="1:32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spans="1:32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spans="1:32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spans="1:32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 spans="1:32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 spans="1:32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 spans="1:32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spans="1:32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spans="1:32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 spans="1:32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 spans="1:32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 spans="1:32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 spans="1:32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 spans="1:32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spans="1:32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 spans="1:32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 spans="1:32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 spans="1:32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 spans="1:32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 spans="1:32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 spans="1:32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spans="1:32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 spans="1:32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spans="1:32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spans="1:32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 spans="1:32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 spans="1:32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spans="1:32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 spans="1:32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spans="1:32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 spans="1:32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 spans="1:32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 spans="1:32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 spans="1:32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 spans="1:32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 spans="1:32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 spans="1:32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 spans="1:32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 spans="1:32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spans="1:32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spans="1:32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spans="1:32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spans="1:32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spans="1:32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 spans="1:32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 spans="1:32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 spans="1:32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 spans="1:32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 spans="1:32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 spans="1:32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 spans="1:32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 spans="1:32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 spans="1:32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 spans="1:32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 spans="1:32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 spans="1:32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 spans="1:32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 spans="1:32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 spans="1:32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 spans="1:32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 spans="1:32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 spans="1:32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 spans="1:32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 spans="1:32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 spans="1:32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 spans="1:32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 spans="1:32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 spans="1:32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 spans="1:32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 spans="1:32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 spans="1:32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 spans="1:32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 spans="1:32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 spans="1:32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 spans="1:32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 spans="1:32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 spans="1:32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 spans="1:32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spans="1:32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spans="1:32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 spans="1:32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 spans="1:32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spans="1:32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spans="1:32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spans="1:32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spans="1:32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 spans="1:32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 spans="1:32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 spans="1:32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 spans="1:32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 spans="1:32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 spans="1:32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 spans="1:32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spans="1:32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spans="1:32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spans="1:32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 spans="1:32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 spans="1:32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 spans="1:32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 spans="1:32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 spans="1:32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 spans="1:32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 spans="1:32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spans="1:32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spans="1:32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spans="1:32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spans="1:32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spans="1:32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 spans="1:32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 spans="1:32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 spans="1:32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 spans="1:32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spans="1:32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spans="1:32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spans="1:32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 spans="1:32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spans="1:32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 spans="1:32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 spans="1:32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spans="1:32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spans="1:32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spans="1:32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spans="1:32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 spans="1:32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 spans="1:32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 spans="1:32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spans="1:32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 spans="1:32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spans="1:32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 spans="1:32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 spans="1:32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 spans="1:32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 spans="1:32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 spans="1:32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 spans="1:32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spans="1:32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spans="1:32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spans="1:32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 spans="1:32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 spans="1:32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 spans="1:32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 spans="1:32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 spans="1:32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 spans="1:32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 spans="1:32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 spans="1:32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 spans="1:32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 spans="1:32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spans="1:32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 spans="1:32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spans="1:32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 spans="1:32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 spans="1:32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spans="1:32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spans="1:32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 spans="1:32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 spans="1:32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 spans="1:32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 spans="1:32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 spans="1:32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 spans="1:32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spans="1:32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 spans="1:32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 spans="1:32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 spans="1:32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 spans="1:32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 spans="1:32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 spans="1:32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 spans="1:32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spans="1:32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 spans="1:32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 spans="1:32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 spans="1:32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 spans="1:32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 spans="1:32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spans="1:32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spans="1:32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spans="1:32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 spans="1:32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 spans="1:32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 spans="1:32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 spans="1:32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 spans="1:32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spans="1:32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 spans="1:32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 spans="1:32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 spans="1:32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 spans="1:32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 spans="1:32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 spans="1:32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 spans="1:32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 spans="1:32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spans="1:32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spans="1:32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spans="1:32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 spans="1:32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 spans="1:32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 spans="1:32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 spans="1:32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 spans="1:32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spans="1:32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spans="1:32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 spans="1:32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 spans="1:32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 spans="1:32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 spans="1:32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 spans="1:32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 spans="1:32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 spans="1:32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 spans="1:32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 spans="1:32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 spans="1:32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spans="1:32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spans="1:32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 spans="1:32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spans="1:32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 spans="1:32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 spans="1:32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 spans="1:32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 spans="1:32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 spans="1:32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 spans="1:32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spans="1:32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 spans="1:32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 spans="1:32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 spans="1:32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 spans="1:32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 spans="1:32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spans="1:32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 spans="1:32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 spans="1:32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 spans="1:32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 spans="1:32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 spans="1:32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 spans="1:32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 spans="1:32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spans="1:32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 spans="1:32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 spans="1:32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 spans="1:32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spans="1:32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spans="1:32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 spans="1:32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 spans="1:32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 spans="1:32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 spans="1:32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 spans="1:32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spans="1:32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 spans="1:32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 spans="1:32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spans="1:32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spans="1:32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spans="1:32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spans="1:32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 spans="1:32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 spans="1:32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 spans="1:32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 spans="1:32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 spans="1:32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spans="1:32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 spans="1:32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 spans="1:32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spans="1:32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spans="1:32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 spans="1:32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 spans="1:32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 spans="1:32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 spans="1:32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 spans="1:32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 spans="1:32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 spans="1:32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spans="1:32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:32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spans="1:32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 spans="1:32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 spans="1:32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 spans="1:32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 spans="1:32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 spans="1:32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 spans="1:32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spans="1:32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:32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 spans="1:32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 spans="1:32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 spans="1:32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 spans="1:32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spans="1:32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 spans="1:32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 spans="1:32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 spans="1:32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 spans="1:32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 spans="1:32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 spans="1:32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 spans="1:32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 spans="1:32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 spans="1:32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 spans="1:32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spans="1:32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spans="1:32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spans="1:32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 spans="1:32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 spans="1:32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 spans="1:32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spans="1:32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 spans="1:32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 spans="1:32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 spans="1:32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 spans="1:32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 spans="1:32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 spans="1:32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 spans="1:32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 spans="1:32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 spans="1:32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 spans="1:32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 spans="1:32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 spans="1:32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 spans="1:32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 spans="1:32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 spans="1:32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 spans="1:32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 spans="1:32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 spans="1:32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 spans="1:32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 spans="1:32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 spans="1:32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 spans="1:32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 spans="1:32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spans="1:32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spans="1:32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 spans="1:32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spans="1:32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 spans="1:32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 spans="1:32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 spans="1:32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 spans="1:32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 spans="1:32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 spans="1:32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 spans="1:32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spans="1:32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spans="1:32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spans="1:32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spans="1:32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 spans="1:32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 spans="1:32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 spans="1:32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 spans="1:32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 spans="1:32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 spans="1:32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spans="1:32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spans="1:32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spans="1:32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spans="1:32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 spans="1:32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 spans="1:32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 spans="1:32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 spans="1:32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 spans="1:32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spans="1:32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spans="1:32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 spans="1:32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</sheetData>
  <mergeCells count="7">
    <mergeCell ref="A17:C17"/>
    <mergeCell ref="A1:F1"/>
    <mergeCell ref="A12:C12"/>
    <mergeCell ref="A13:C13"/>
    <mergeCell ref="A14:C14"/>
    <mergeCell ref="A15:C15"/>
    <mergeCell ref="A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"/>
  <sheetViews>
    <sheetView tabSelected="1" zoomScale="90" zoomScaleNormal="90" workbookViewId="0">
      <selection activeCell="G4" sqref="G4"/>
    </sheetView>
  </sheetViews>
  <sheetFormatPr defaultRowHeight="14.5" x14ac:dyDescent="0.35"/>
  <cols>
    <col min="1" max="1" width="26.26953125" customWidth="1"/>
    <col min="2" max="2" width="26.7265625" customWidth="1"/>
    <col min="3" max="3" width="26.6328125" customWidth="1"/>
    <col min="4" max="4" width="25.90625" customWidth="1"/>
    <col min="5" max="5" width="26.36328125" customWidth="1"/>
    <col min="6" max="6" width="29.36328125" customWidth="1"/>
    <col min="7" max="7" width="18.6328125" customWidth="1"/>
    <col min="8" max="8" width="4.54296875" customWidth="1"/>
  </cols>
  <sheetData>
    <row r="1" spans="1:16" ht="26" x14ac:dyDescent="0.35">
      <c r="A1" s="38" t="s">
        <v>23</v>
      </c>
      <c r="B1" s="38"/>
      <c r="C1" s="38"/>
      <c r="D1" s="38"/>
      <c r="E1" s="38"/>
      <c r="F1" s="38"/>
      <c r="G1" s="38"/>
      <c r="H1" s="38"/>
      <c r="I1" s="16"/>
      <c r="J1" s="16"/>
      <c r="K1" s="16"/>
      <c r="L1" s="16"/>
      <c r="M1" s="16"/>
      <c r="N1" s="16"/>
      <c r="O1" s="16"/>
      <c r="P1" s="16"/>
    </row>
    <row r="2" spans="1:16" x14ac:dyDescent="0.35">
      <c r="A2" s="39" t="s">
        <v>24</v>
      </c>
      <c r="B2" s="39"/>
      <c r="C2" s="39"/>
      <c r="D2" s="39"/>
      <c r="E2" s="39"/>
      <c r="F2" s="39"/>
      <c r="G2" s="39"/>
      <c r="H2" s="39"/>
      <c r="I2" s="16"/>
      <c r="J2" s="16"/>
      <c r="K2" s="16"/>
      <c r="L2" s="16"/>
      <c r="M2" s="16"/>
      <c r="N2" s="16"/>
      <c r="O2" s="16"/>
      <c r="P2" s="16"/>
    </row>
    <row r="3" spans="1:16" x14ac:dyDescent="0.35">
      <c r="A3" s="18"/>
      <c r="B3" s="18"/>
      <c r="C3" s="18"/>
      <c r="D3" s="18"/>
      <c r="E3" s="18"/>
      <c r="F3" s="18"/>
      <c r="G3" s="18"/>
      <c r="H3" s="18"/>
      <c r="I3" s="16"/>
      <c r="J3" s="16"/>
      <c r="K3" s="16"/>
      <c r="L3" s="16"/>
      <c r="M3" s="16"/>
      <c r="N3" s="16"/>
      <c r="O3" s="16"/>
      <c r="P3" s="16"/>
    </row>
    <row r="4" spans="1:16" x14ac:dyDescent="0.35">
      <c r="A4" s="19" t="s">
        <v>3</v>
      </c>
      <c r="B4" s="20" t="s">
        <v>25</v>
      </c>
      <c r="C4" s="19" t="s">
        <v>12</v>
      </c>
      <c r="D4" s="20" t="s">
        <v>25</v>
      </c>
      <c r="E4" s="19" t="s">
        <v>26</v>
      </c>
      <c r="F4" s="20" t="s">
        <v>25</v>
      </c>
      <c r="G4" s="18"/>
      <c r="H4" s="18"/>
      <c r="I4" s="16"/>
      <c r="J4" s="16"/>
      <c r="K4" s="16"/>
      <c r="L4" s="16"/>
      <c r="M4" s="16"/>
      <c r="N4" s="16"/>
      <c r="O4" s="16"/>
      <c r="P4" s="16"/>
    </row>
    <row r="5" spans="1:16" x14ac:dyDescent="0.35">
      <c r="G5" s="16"/>
      <c r="H5" s="17"/>
      <c r="I5" s="16"/>
      <c r="J5" s="16"/>
      <c r="K5" s="16"/>
      <c r="L5" s="16"/>
      <c r="M5" s="16"/>
      <c r="N5" s="16"/>
      <c r="O5" s="16"/>
      <c r="P5" s="16"/>
    </row>
    <row r="6" spans="1:16" x14ac:dyDescent="0.35">
      <c r="A6" s="40" t="s">
        <v>27</v>
      </c>
      <c r="B6" s="40"/>
      <c r="C6" s="40" t="s">
        <v>28</v>
      </c>
      <c r="D6" s="40"/>
      <c r="E6" s="40" t="s">
        <v>29</v>
      </c>
      <c r="F6" s="40"/>
      <c r="G6" s="40" t="s">
        <v>30</v>
      </c>
      <c r="H6" s="40"/>
      <c r="I6" s="16"/>
      <c r="J6" s="16"/>
      <c r="K6" s="16"/>
      <c r="L6" s="16"/>
      <c r="M6" s="16"/>
      <c r="N6" s="16"/>
      <c r="O6" s="16"/>
      <c r="P6" s="16"/>
    </row>
    <row r="7" spans="1:16" x14ac:dyDescent="0.35">
      <c r="A7" s="36">
        <v>9024500</v>
      </c>
      <c r="B7" s="36"/>
      <c r="C7" s="37">
        <v>722</v>
      </c>
      <c r="D7" s="37"/>
      <c r="E7" s="37">
        <v>119</v>
      </c>
      <c r="F7" s="37"/>
      <c r="G7" s="36">
        <v>75836.134453781502</v>
      </c>
      <c r="H7" s="36"/>
      <c r="I7" s="16"/>
      <c r="J7" s="16"/>
      <c r="K7" s="16"/>
      <c r="L7" s="16"/>
      <c r="M7" s="16"/>
      <c r="N7" s="16"/>
      <c r="O7" s="16"/>
      <c r="P7" s="16"/>
    </row>
    <row r="8" spans="1:16" x14ac:dyDescent="0.35">
      <c r="A8" s="36"/>
      <c r="B8" s="36"/>
      <c r="C8" s="37"/>
      <c r="D8" s="37"/>
      <c r="E8" s="37"/>
      <c r="F8" s="37"/>
      <c r="G8" s="36"/>
      <c r="H8" s="36"/>
      <c r="I8" s="16"/>
      <c r="J8" s="16"/>
      <c r="K8" s="16"/>
      <c r="L8" s="16"/>
      <c r="M8" s="16"/>
      <c r="N8" s="16"/>
      <c r="O8" s="16"/>
      <c r="P8" s="16"/>
    </row>
    <row r="9" spans="1:16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3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x14ac:dyDescent="0.3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spans="1:16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6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6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spans="1:16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spans="1:16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spans="1:16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spans="1:16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spans="1:16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spans="1:16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spans="1:16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spans="1:16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spans="1:16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1:16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spans="1:16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spans="1:16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spans="1:16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1:16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spans="1:16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spans="1:16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spans="1:16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spans="1:16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spans="1:16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6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1:16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spans="1:16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spans="1:16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1:16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spans="1:16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spans="1:16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spans="1:16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spans="1:16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spans="1:16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spans="1:16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spans="1:16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spans="1:16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16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16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16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16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1:16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  <row r="96" spans="1:16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spans="1:16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 spans="1:16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1:16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 spans="1:16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1:16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 spans="1:16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 spans="1:16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</row>
    <row r="104" spans="1:16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</row>
    <row r="105" spans="1:16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</row>
    <row r="106" spans="1:16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</row>
    <row r="107" spans="1:16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</row>
    <row r="108" spans="1:16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</row>
    <row r="109" spans="1:16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 spans="1:16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</sheetData>
  <mergeCells count="10">
    <mergeCell ref="A7:B8"/>
    <mergeCell ref="C7:D8"/>
    <mergeCell ref="E7:F8"/>
    <mergeCell ref="G7:H8"/>
    <mergeCell ref="A1:H1"/>
    <mergeCell ref="A2:H2"/>
    <mergeCell ref="A6:B6"/>
    <mergeCell ref="C6:D6"/>
    <mergeCell ref="E6:F6"/>
    <mergeCell ref="G6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Monthly_Summary</vt:lpstr>
      <vt:lpstr>Product_Summary</vt:lpstr>
      <vt:lpstr>Raw Data</vt:lpstr>
      <vt:lpstr>Region_Summary</vt:lpstr>
      <vt:lpstr>Quantity</vt:lpstr>
      <vt:lpstr>Instructions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2026-10-28T11:50:02Z</dcterms:created>
  <dcterms:modified xsi:type="dcterms:W3CDTF">2026-10-29T16:14:07Z</dcterms:modified>
</cp:coreProperties>
</file>